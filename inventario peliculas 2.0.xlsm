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Dncacusuge02\d\sip\Archivos Notificadores\Archivos Notificadores\Salchichas\"/>
    </mc:Choice>
  </mc:AlternateContent>
  <bookViews>
    <workbookView xWindow="0" yWindow="0" windowWidth="24000" windowHeight="11610" activeTab="4"/>
  </bookViews>
  <sheets>
    <sheet name="INVENTARIO(MB52)" sheetId="1" r:id="rId1"/>
    <sheet name="MIGO" sheetId="6" r:id="rId2"/>
    <sheet name="INFORME DEL DIA" sheetId="2" r:id="rId3"/>
    <sheet name="INV.FISICO" sheetId="3" r:id="rId4"/>
    <sheet name="CIERRE TECNICO" sheetId="4" r:id="rId5"/>
  </sheets>
  <externalReferences>
    <externalReference r:id="rId6"/>
  </externalReferences>
  <definedNames>
    <definedName name="DatosExternos_1" localSheetId="0" hidden="1">'INVENTARIO(MB52)'!$C$5:$G$1330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2" i="4" l="1"/>
  <c r="T11" i="4"/>
  <c r="I74" i="2" l="1"/>
  <c r="I75" i="2"/>
  <c r="I76" i="2"/>
  <c r="I77" i="2"/>
  <c r="E77" i="2" s="1"/>
  <c r="G77" i="2" s="1"/>
  <c r="I78" i="2"/>
  <c r="I79" i="2"/>
  <c r="I80" i="2"/>
  <c r="I81" i="2"/>
  <c r="E81" i="2" s="1"/>
  <c r="G81" i="2" s="1"/>
  <c r="I82" i="2"/>
  <c r="I83" i="2"/>
  <c r="I73" i="2"/>
  <c r="J83" i="2"/>
  <c r="J82" i="2"/>
  <c r="J81" i="2"/>
  <c r="J80" i="2"/>
  <c r="J79" i="2"/>
  <c r="J78" i="2"/>
  <c r="J77" i="2"/>
  <c r="J76" i="2"/>
  <c r="J75" i="2"/>
  <c r="J74" i="2"/>
  <c r="J73" i="2"/>
  <c r="G75" i="2"/>
  <c r="G80" i="2"/>
  <c r="E74" i="2"/>
  <c r="G74" i="2" s="1"/>
  <c r="E75" i="2"/>
  <c r="E76" i="2"/>
  <c r="G76" i="2" s="1"/>
  <c r="E78" i="2"/>
  <c r="G78" i="2" s="1"/>
  <c r="E79" i="2"/>
  <c r="G79" i="2" s="1"/>
  <c r="E80" i="2"/>
  <c r="E82" i="2"/>
  <c r="G82" i="2" s="1"/>
  <c r="E83" i="2"/>
  <c r="G83" i="2" s="1"/>
  <c r="G73" i="2"/>
  <c r="E73" i="2"/>
  <c r="F74" i="2"/>
  <c r="F75" i="2"/>
  <c r="F76" i="2"/>
  <c r="F77" i="2"/>
  <c r="F78" i="2"/>
  <c r="F79" i="2"/>
  <c r="F80" i="2"/>
  <c r="F81" i="2"/>
  <c r="F82" i="2"/>
  <c r="F83" i="2"/>
  <c r="F73" i="2"/>
  <c r="D74" i="2"/>
  <c r="D75" i="2"/>
  <c r="D76" i="2"/>
  <c r="D77" i="2"/>
  <c r="D78" i="2"/>
  <c r="D79" i="2"/>
  <c r="D80" i="2"/>
  <c r="D81" i="2"/>
  <c r="D82" i="2"/>
  <c r="D83" i="2"/>
  <c r="D73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5" i="2"/>
  <c r="E6" i="2" l="1"/>
  <c r="G6" i="2" s="1"/>
  <c r="E7" i="2"/>
  <c r="G7" i="2" s="1"/>
  <c r="E8" i="2"/>
  <c r="G8" i="2" s="1"/>
  <c r="E9" i="2"/>
  <c r="G9" i="2" s="1"/>
  <c r="E10" i="2"/>
  <c r="G10" i="2" s="1"/>
  <c r="E11" i="2"/>
  <c r="G11" i="2" s="1"/>
  <c r="E12" i="2"/>
  <c r="G12" i="2" s="1"/>
  <c r="E13" i="2"/>
  <c r="G13" i="2" s="1"/>
  <c r="E14" i="2"/>
  <c r="G14" i="2" s="1"/>
  <c r="E15" i="2"/>
  <c r="G15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E25" i="2"/>
  <c r="G25" i="2" s="1"/>
  <c r="E26" i="2"/>
  <c r="G26" i="2" s="1"/>
  <c r="E27" i="2"/>
  <c r="G27" i="2" s="1"/>
  <c r="E28" i="2"/>
  <c r="G28" i="2" s="1"/>
  <c r="E29" i="2"/>
  <c r="G29" i="2" s="1"/>
  <c r="E30" i="2"/>
  <c r="G30" i="2" s="1"/>
  <c r="E31" i="2"/>
  <c r="G31" i="2" s="1"/>
  <c r="E32" i="2"/>
  <c r="G32" i="2" s="1"/>
  <c r="E33" i="2"/>
  <c r="G33" i="2" s="1"/>
  <c r="E34" i="2"/>
  <c r="G34" i="2" s="1"/>
  <c r="E35" i="2"/>
  <c r="G35" i="2" s="1"/>
  <c r="E36" i="2"/>
  <c r="G36" i="2" s="1"/>
  <c r="E37" i="2"/>
  <c r="G37" i="2" s="1"/>
  <c r="E38" i="2"/>
  <c r="G38" i="2" s="1"/>
  <c r="E39" i="2"/>
  <c r="G39" i="2" s="1"/>
  <c r="E40" i="2"/>
  <c r="G40" i="2" s="1"/>
  <c r="E41" i="2"/>
  <c r="G41" i="2" s="1"/>
  <c r="E42" i="2"/>
  <c r="G42" i="2" s="1"/>
  <c r="E43" i="2"/>
  <c r="G43" i="2" s="1"/>
  <c r="E44" i="2"/>
  <c r="G44" i="2" s="1"/>
  <c r="E45" i="2"/>
  <c r="G45" i="2" s="1"/>
  <c r="E46" i="2"/>
  <c r="G46" i="2" s="1"/>
  <c r="E47" i="2"/>
  <c r="G47" i="2" s="1"/>
  <c r="E48" i="2"/>
  <c r="G48" i="2" s="1"/>
  <c r="E49" i="2"/>
  <c r="G49" i="2" s="1"/>
  <c r="E50" i="2"/>
  <c r="G50" i="2" s="1"/>
  <c r="E51" i="2"/>
  <c r="G51" i="2" s="1"/>
  <c r="E52" i="2"/>
  <c r="G52" i="2" s="1"/>
  <c r="E53" i="2"/>
  <c r="G53" i="2" s="1"/>
  <c r="E54" i="2"/>
  <c r="G54" i="2" s="1"/>
  <c r="E55" i="2"/>
  <c r="G55" i="2" s="1"/>
  <c r="E56" i="2"/>
  <c r="G56" i="2" s="1"/>
  <c r="E57" i="2"/>
  <c r="G57" i="2" s="1"/>
  <c r="E58" i="2"/>
  <c r="G58" i="2" s="1"/>
  <c r="E59" i="2"/>
  <c r="G59" i="2" s="1"/>
  <c r="E60" i="2"/>
  <c r="G60" i="2" s="1"/>
  <c r="E61" i="2"/>
  <c r="G61" i="2" s="1"/>
  <c r="E62" i="2"/>
  <c r="G62" i="2" s="1"/>
  <c r="E63" i="2"/>
  <c r="G63" i="2" s="1"/>
  <c r="E64" i="2"/>
  <c r="G64" i="2" s="1"/>
  <c r="E65" i="2"/>
  <c r="G65" i="2" s="1"/>
  <c r="E66" i="2"/>
  <c r="G66" i="2" s="1"/>
  <c r="E67" i="2"/>
  <c r="G67" i="2" s="1"/>
  <c r="E68" i="2"/>
  <c r="G68" i="2" s="1"/>
  <c r="E69" i="2"/>
  <c r="G69" i="2" s="1"/>
  <c r="E5" i="2"/>
  <c r="G5" i="2" s="1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C8" i="2"/>
  <c r="O141" i="3"/>
  <c r="B141" i="3"/>
  <c r="O140" i="3"/>
  <c r="B140" i="3"/>
  <c r="O139" i="3"/>
  <c r="B139" i="3"/>
  <c r="O138" i="3"/>
  <c r="B138" i="3"/>
  <c r="O137" i="3"/>
  <c r="B137" i="3"/>
  <c r="O136" i="3"/>
  <c r="B136" i="3"/>
  <c r="O135" i="3"/>
  <c r="B135" i="3"/>
  <c r="O134" i="3"/>
  <c r="B134" i="3"/>
  <c r="O133" i="3"/>
  <c r="B133" i="3"/>
  <c r="O132" i="3"/>
  <c r="B132" i="3"/>
  <c r="O131" i="3"/>
  <c r="B131" i="3"/>
  <c r="O130" i="3"/>
  <c r="B130" i="3"/>
  <c r="O129" i="3"/>
  <c r="B129" i="3"/>
  <c r="O128" i="3"/>
  <c r="B128" i="3"/>
  <c r="O127" i="3"/>
  <c r="B127" i="3"/>
  <c r="O126" i="3"/>
  <c r="B126" i="3"/>
  <c r="O125" i="3"/>
  <c r="B125" i="3"/>
  <c r="O124" i="3"/>
  <c r="B124" i="3"/>
  <c r="O123" i="3"/>
  <c r="B123" i="3"/>
  <c r="O122" i="3"/>
  <c r="B122" i="3"/>
  <c r="O121" i="3"/>
  <c r="B121" i="3"/>
  <c r="O120" i="3"/>
  <c r="B120" i="3"/>
  <c r="O119" i="3"/>
  <c r="B119" i="3"/>
  <c r="O118" i="3"/>
  <c r="B118" i="3"/>
  <c r="O117" i="3"/>
  <c r="B117" i="3"/>
  <c r="O116" i="3"/>
  <c r="B116" i="3"/>
  <c r="AB82" i="3"/>
  <c r="AA82" i="3"/>
  <c r="Y82" i="3"/>
  <c r="X82" i="3"/>
  <c r="W82" i="3"/>
  <c r="V82" i="3"/>
  <c r="U82" i="3"/>
  <c r="N82" i="3"/>
  <c r="M82" i="3"/>
  <c r="L82" i="3"/>
  <c r="K82" i="3"/>
  <c r="J82" i="3"/>
  <c r="AB81" i="3"/>
  <c r="AA81" i="3"/>
  <c r="Y81" i="3"/>
  <c r="X81" i="3"/>
  <c r="W81" i="3"/>
  <c r="V81" i="3"/>
  <c r="U81" i="3"/>
  <c r="N81" i="3"/>
  <c r="M81" i="3"/>
  <c r="L81" i="3"/>
  <c r="K81" i="3"/>
  <c r="J81" i="3"/>
  <c r="R81" i="3" s="1"/>
  <c r="S81" i="3" s="1"/>
  <c r="AB80" i="3"/>
  <c r="AA80" i="3"/>
  <c r="Y80" i="3"/>
  <c r="X80" i="3"/>
  <c r="W80" i="3"/>
  <c r="V80" i="3"/>
  <c r="U80" i="3"/>
  <c r="N80" i="3"/>
  <c r="M80" i="3"/>
  <c r="L80" i="3"/>
  <c r="K80" i="3"/>
  <c r="J80" i="3"/>
  <c r="AB79" i="3"/>
  <c r="AA79" i="3"/>
  <c r="Y79" i="3"/>
  <c r="X79" i="3"/>
  <c r="W79" i="3"/>
  <c r="V79" i="3"/>
  <c r="U79" i="3"/>
  <c r="N79" i="3"/>
  <c r="M79" i="3"/>
  <c r="L79" i="3"/>
  <c r="K79" i="3"/>
  <c r="J79" i="3"/>
  <c r="R79" i="3" s="1"/>
  <c r="S79" i="3" s="1"/>
  <c r="AB78" i="3"/>
  <c r="AA78" i="3"/>
  <c r="Y78" i="3"/>
  <c r="X78" i="3"/>
  <c r="W78" i="3"/>
  <c r="V78" i="3"/>
  <c r="U78" i="3"/>
  <c r="N78" i="3"/>
  <c r="M78" i="3"/>
  <c r="L78" i="3"/>
  <c r="K78" i="3"/>
  <c r="J78" i="3"/>
  <c r="AB77" i="3"/>
  <c r="AA77" i="3"/>
  <c r="Y77" i="3"/>
  <c r="X77" i="3"/>
  <c r="W77" i="3"/>
  <c r="V77" i="3"/>
  <c r="U77" i="3"/>
  <c r="N77" i="3"/>
  <c r="M77" i="3"/>
  <c r="L77" i="3"/>
  <c r="K77" i="3"/>
  <c r="J77" i="3"/>
  <c r="R77" i="3" s="1"/>
  <c r="S77" i="3" s="1"/>
  <c r="AB76" i="3"/>
  <c r="AA76" i="3"/>
  <c r="Y76" i="3"/>
  <c r="X76" i="3"/>
  <c r="W76" i="3"/>
  <c r="V76" i="3"/>
  <c r="U76" i="3"/>
  <c r="N76" i="3"/>
  <c r="M76" i="3"/>
  <c r="L76" i="3"/>
  <c r="K76" i="3"/>
  <c r="J76" i="3"/>
  <c r="AB75" i="3"/>
  <c r="AA75" i="3"/>
  <c r="Y75" i="3"/>
  <c r="X75" i="3"/>
  <c r="W75" i="3"/>
  <c r="V75" i="3"/>
  <c r="U75" i="3"/>
  <c r="N75" i="3"/>
  <c r="M75" i="3"/>
  <c r="L75" i="3"/>
  <c r="K75" i="3"/>
  <c r="J75" i="3"/>
  <c r="R75" i="3" s="1"/>
  <c r="S75" i="3" s="1"/>
  <c r="AB74" i="3"/>
  <c r="AA74" i="3"/>
  <c r="Y74" i="3"/>
  <c r="X74" i="3"/>
  <c r="W74" i="3"/>
  <c r="V74" i="3"/>
  <c r="U74" i="3"/>
  <c r="N74" i="3"/>
  <c r="M74" i="3"/>
  <c r="L74" i="3"/>
  <c r="K74" i="3"/>
  <c r="J74" i="3"/>
  <c r="AB72" i="3"/>
  <c r="AA72" i="3"/>
  <c r="Y72" i="3"/>
  <c r="X72" i="3"/>
  <c r="W72" i="3"/>
  <c r="V72" i="3"/>
  <c r="U72" i="3"/>
  <c r="AB71" i="3"/>
  <c r="AA71" i="3"/>
  <c r="Y71" i="3"/>
  <c r="X71" i="3"/>
  <c r="W71" i="3"/>
  <c r="V71" i="3"/>
  <c r="U71" i="3"/>
  <c r="N71" i="3"/>
  <c r="M71" i="3"/>
  <c r="L71" i="3"/>
  <c r="K71" i="3"/>
  <c r="J71" i="3"/>
  <c r="AB70" i="3"/>
  <c r="AA70" i="3"/>
  <c r="Y70" i="3"/>
  <c r="X70" i="3"/>
  <c r="W70" i="3"/>
  <c r="V70" i="3"/>
  <c r="U70" i="3"/>
  <c r="N70" i="3"/>
  <c r="M70" i="3"/>
  <c r="L70" i="3"/>
  <c r="K70" i="3"/>
  <c r="J70" i="3"/>
  <c r="AB69" i="3"/>
  <c r="AA69" i="3"/>
  <c r="Y69" i="3"/>
  <c r="X69" i="3"/>
  <c r="W69" i="3"/>
  <c r="V69" i="3"/>
  <c r="U69" i="3"/>
  <c r="N69" i="3"/>
  <c r="M69" i="3"/>
  <c r="L69" i="3"/>
  <c r="K69" i="3"/>
  <c r="AB68" i="3"/>
  <c r="AA68" i="3"/>
  <c r="J68" i="3" s="1"/>
  <c r="Y68" i="3"/>
  <c r="X68" i="3"/>
  <c r="W68" i="3"/>
  <c r="V68" i="3"/>
  <c r="U68" i="3"/>
  <c r="N68" i="3"/>
  <c r="M68" i="3"/>
  <c r="L68" i="3"/>
  <c r="AB67" i="3"/>
  <c r="AA67" i="3"/>
  <c r="Y67" i="3"/>
  <c r="X67" i="3"/>
  <c r="W67" i="3"/>
  <c r="V67" i="3"/>
  <c r="U67" i="3"/>
  <c r="N67" i="3"/>
  <c r="M67" i="3"/>
  <c r="L67" i="3"/>
  <c r="K67" i="3"/>
  <c r="AB66" i="3"/>
  <c r="AA66" i="3"/>
  <c r="Y66" i="3"/>
  <c r="X66" i="3"/>
  <c r="W66" i="3"/>
  <c r="V66" i="3"/>
  <c r="U66" i="3"/>
  <c r="N66" i="3"/>
  <c r="M66" i="3"/>
  <c r="L66" i="3"/>
  <c r="K66" i="3"/>
  <c r="AB65" i="3"/>
  <c r="AA65" i="3"/>
  <c r="Y65" i="3"/>
  <c r="X65" i="3"/>
  <c r="W65" i="3"/>
  <c r="V65" i="3"/>
  <c r="U65" i="3"/>
  <c r="N65" i="3"/>
  <c r="M65" i="3"/>
  <c r="L65" i="3"/>
  <c r="K65" i="3"/>
  <c r="AB64" i="3"/>
  <c r="AA64" i="3"/>
  <c r="Y64" i="3"/>
  <c r="X64" i="3"/>
  <c r="W64" i="3"/>
  <c r="V64" i="3"/>
  <c r="U64" i="3"/>
  <c r="N64" i="3"/>
  <c r="M64" i="3"/>
  <c r="L64" i="3"/>
  <c r="K64" i="3"/>
  <c r="AB63" i="3"/>
  <c r="AA63" i="3"/>
  <c r="Y63" i="3"/>
  <c r="X63" i="3"/>
  <c r="W63" i="3"/>
  <c r="V63" i="3"/>
  <c r="U63" i="3"/>
  <c r="N63" i="3"/>
  <c r="M63" i="3"/>
  <c r="L63" i="3"/>
  <c r="K63" i="3"/>
  <c r="AB62" i="3"/>
  <c r="K62" i="3" s="1"/>
  <c r="AA62" i="3"/>
  <c r="Y62" i="3"/>
  <c r="X62" i="3"/>
  <c r="W62" i="3"/>
  <c r="V62" i="3"/>
  <c r="U62" i="3"/>
  <c r="N62" i="3"/>
  <c r="M62" i="3"/>
  <c r="L62" i="3"/>
  <c r="AB61" i="3"/>
  <c r="AA61" i="3"/>
  <c r="Y61" i="3"/>
  <c r="X61" i="3"/>
  <c r="W61" i="3"/>
  <c r="V61" i="3"/>
  <c r="U61" i="3"/>
  <c r="N61" i="3"/>
  <c r="M61" i="3"/>
  <c r="L61" i="3"/>
  <c r="K61" i="3"/>
  <c r="AB60" i="3"/>
  <c r="AA60" i="3"/>
  <c r="Y60" i="3"/>
  <c r="X60" i="3"/>
  <c r="W60" i="3"/>
  <c r="V60" i="3"/>
  <c r="U60" i="3"/>
  <c r="N60" i="3"/>
  <c r="M60" i="3"/>
  <c r="L60" i="3"/>
  <c r="K60" i="3"/>
  <c r="AB59" i="3"/>
  <c r="AA59" i="3"/>
  <c r="Y59" i="3"/>
  <c r="X59" i="3"/>
  <c r="W59" i="3"/>
  <c r="V59" i="3"/>
  <c r="U59" i="3"/>
  <c r="N59" i="3"/>
  <c r="M59" i="3"/>
  <c r="L59" i="3"/>
  <c r="K59" i="3"/>
  <c r="AB58" i="3"/>
  <c r="AA58" i="3"/>
  <c r="Y58" i="3"/>
  <c r="X58" i="3"/>
  <c r="W58" i="3"/>
  <c r="V58" i="3"/>
  <c r="U58" i="3"/>
  <c r="N58" i="3"/>
  <c r="M58" i="3"/>
  <c r="L58" i="3"/>
  <c r="K58" i="3"/>
  <c r="AB57" i="3"/>
  <c r="AA57" i="3"/>
  <c r="Y57" i="3"/>
  <c r="X57" i="3"/>
  <c r="W57" i="3"/>
  <c r="V57" i="3"/>
  <c r="U57" i="3"/>
  <c r="N57" i="3"/>
  <c r="M57" i="3"/>
  <c r="L57" i="3"/>
  <c r="K57" i="3"/>
  <c r="AB56" i="3"/>
  <c r="AA56" i="3"/>
  <c r="Y56" i="3"/>
  <c r="X56" i="3"/>
  <c r="W56" i="3"/>
  <c r="V56" i="3"/>
  <c r="U56" i="3"/>
  <c r="N56" i="3"/>
  <c r="M56" i="3"/>
  <c r="L56" i="3"/>
  <c r="K56" i="3"/>
  <c r="AB55" i="3"/>
  <c r="AA55" i="3"/>
  <c r="Y55" i="3"/>
  <c r="X55" i="3"/>
  <c r="W55" i="3"/>
  <c r="V55" i="3"/>
  <c r="U55" i="3"/>
  <c r="N55" i="3"/>
  <c r="M55" i="3"/>
  <c r="L55" i="3"/>
  <c r="K55" i="3"/>
  <c r="AB54" i="3"/>
  <c r="AA54" i="3"/>
  <c r="Y54" i="3"/>
  <c r="X54" i="3"/>
  <c r="W54" i="3"/>
  <c r="V54" i="3"/>
  <c r="U54" i="3"/>
  <c r="N54" i="3"/>
  <c r="M54" i="3"/>
  <c r="L54" i="3"/>
  <c r="K54" i="3"/>
  <c r="AB53" i="3"/>
  <c r="AA53" i="3"/>
  <c r="Y53" i="3"/>
  <c r="X53" i="3"/>
  <c r="W53" i="3"/>
  <c r="V53" i="3"/>
  <c r="U53" i="3"/>
  <c r="N53" i="3"/>
  <c r="M53" i="3"/>
  <c r="L53" i="3"/>
  <c r="K53" i="3"/>
  <c r="AB52" i="3"/>
  <c r="AA52" i="3"/>
  <c r="Y52" i="3"/>
  <c r="X52" i="3"/>
  <c r="W52" i="3"/>
  <c r="V52" i="3"/>
  <c r="U52" i="3"/>
  <c r="N52" i="3"/>
  <c r="M52" i="3"/>
  <c r="L52" i="3"/>
  <c r="AB51" i="3"/>
  <c r="AA51" i="3"/>
  <c r="Y51" i="3"/>
  <c r="X51" i="3"/>
  <c r="W51" i="3"/>
  <c r="V51" i="3"/>
  <c r="U51" i="3"/>
  <c r="N51" i="3"/>
  <c r="M51" i="3"/>
  <c r="L51" i="3"/>
  <c r="AB50" i="3"/>
  <c r="AA50" i="3"/>
  <c r="Y50" i="3"/>
  <c r="X50" i="3"/>
  <c r="W50" i="3"/>
  <c r="V50" i="3"/>
  <c r="U50" i="3"/>
  <c r="N50" i="3"/>
  <c r="M50" i="3"/>
  <c r="L50" i="3"/>
  <c r="K50" i="3"/>
  <c r="AB49" i="3"/>
  <c r="AA49" i="3"/>
  <c r="Y49" i="3"/>
  <c r="X49" i="3"/>
  <c r="W49" i="3"/>
  <c r="V49" i="3"/>
  <c r="U49" i="3"/>
  <c r="N49" i="3"/>
  <c r="M49" i="3"/>
  <c r="L49" i="3"/>
  <c r="K49" i="3"/>
  <c r="AB48" i="3"/>
  <c r="AA48" i="3"/>
  <c r="Y48" i="3"/>
  <c r="X48" i="3"/>
  <c r="W48" i="3"/>
  <c r="V48" i="3"/>
  <c r="U48" i="3"/>
  <c r="N48" i="3"/>
  <c r="M48" i="3"/>
  <c r="L48" i="3"/>
  <c r="AB47" i="3"/>
  <c r="AA47" i="3"/>
  <c r="Y47" i="3"/>
  <c r="X47" i="3"/>
  <c r="W47" i="3"/>
  <c r="V47" i="3"/>
  <c r="U47" i="3"/>
  <c r="N47" i="3"/>
  <c r="M47" i="3"/>
  <c r="L47" i="3"/>
  <c r="K47" i="3"/>
  <c r="AB46" i="3"/>
  <c r="AA46" i="3"/>
  <c r="Y46" i="3"/>
  <c r="X46" i="3"/>
  <c r="W46" i="3"/>
  <c r="V46" i="3"/>
  <c r="U46" i="3"/>
  <c r="N46" i="3"/>
  <c r="M46" i="3"/>
  <c r="L46" i="3"/>
  <c r="K46" i="3"/>
  <c r="AB45" i="3"/>
  <c r="AA45" i="3"/>
  <c r="Y45" i="3"/>
  <c r="X45" i="3"/>
  <c r="W45" i="3"/>
  <c r="V45" i="3"/>
  <c r="U45" i="3"/>
  <c r="N45" i="3"/>
  <c r="M45" i="3"/>
  <c r="L45" i="3"/>
  <c r="AB44" i="3"/>
  <c r="AA44" i="3"/>
  <c r="Y44" i="3"/>
  <c r="X44" i="3"/>
  <c r="W44" i="3"/>
  <c r="V44" i="3"/>
  <c r="U44" i="3"/>
  <c r="N44" i="3"/>
  <c r="M44" i="3"/>
  <c r="L44" i="3"/>
  <c r="K44" i="3"/>
  <c r="AB43" i="3"/>
  <c r="AA43" i="3"/>
  <c r="Y43" i="3"/>
  <c r="X43" i="3"/>
  <c r="W43" i="3"/>
  <c r="V43" i="3"/>
  <c r="U43" i="3"/>
  <c r="N43" i="3"/>
  <c r="M43" i="3"/>
  <c r="L43" i="3"/>
  <c r="K43" i="3"/>
  <c r="AB42" i="3"/>
  <c r="AA42" i="3"/>
  <c r="Y42" i="3"/>
  <c r="X42" i="3"/>
  <c r="W42" i="3"/>
  <c r="V42" i="3"/>
  <c r="U42" i="3"/>
  <c r="N42" i="3"/>
  <c r="M42" i="3"/>
  <c r="L42" i="3"/>
  <c r="K42" i="3"/>
  <c r="AB41" i="3"/>
  <c r="AA41" i="3"/>
  <c r="Y41" i="3"/>
  <c r="X41" i="3"/>
  <c r="W41" i="3"/>
  <c r="V41" i="3"/>
  <c r="U41" i="3"/>
  <c r="N41" i="3"/>
  <c r="M41" i="3"/>
  <c r="L41" i="3"/>
  <c r="AB40" i="3"/>
  <c r="AA40" i="3"/>
  <c r="Y40" i="3"/>
  <c r="X40" i="3"/>
  <c r="W40" i="3"/>
  <c r="V40" i="3"/>
  <c r="U40" i="3"/>
  <c r="N40" i="3"/>
  <c r="M40" i="3"/>
  <c r="L40" i="3"/>
  <c r="K40" i="3"/>
  <c r="J40" i="3"/>
  <c r="AB39" i="3"/>
  <c r="AA39" i="3"/>
  <c r="Y39" i="3"/>
  <c r="X39" i="3"/>
  <c r="W39" i="3"/>
  <c r="V39" i="3"/>
  <c r="U39" i="3"/>
  <c r="N39" i="3"/>
  <c r="M39" i="3"/>
  <c r="L39" i="3"/>
  <c r="K39" i="3"/>
  <c r="AB38" i="3"/>
  <c r="AA38" i="3"/>
  <c r="Y38" i="3"/>
  <c r="X38" i="3"/>
  <c r="W38" i="3"/>
  <c r="V38" i="3"/>
  <c r="U38" i="3"/>
  <c r="N38" i="3"/>
  <c r="M38" i="3"/>
  <c r="L38" i="3"/>
  <c r="AB37" i="3"/>
  <c r="AA37" i="3"/>
  <c r="Y37" i="3"/>
  <c r="X37" i="3"/>
  <c r="W37" i="3"/>
  <c r="V37" i="3"/>
  <c r="U37" i="3"/>
  <c r="N37" i="3"/>
  <c r="M37" i="3"/>
  <c r="L37" i="3"/>
  <c r="K37" i="3"/>
  <c r="AB36" i="3"/>
  <c r="AA36" i="3"/>
  <c r="Y36" i="3"/>
  <c r="X36" i="3"/>
  <c r="W36" i="3"/>
  <c r="V36" i="3"/>
  <c r="U36" i="3"/>
  <c r="N36" i="3"/>
  <c r="M36" i="3"/>
  <c r="L36" i="3"/>
  <c r="K36" i="3"/>
  <c r="AB35" i="3"/>
  <c r="AA35" i="3"/>
  <c r="Y35" i="3"/>
  <c r="X35" i="3"/>
  <c r="W35" i="3"/>
  <c r="V35" i="3"/>
  <c r="U35" i="3"/>
  <c r="N35" i="3"/>
  <c r="M35" i="3"/>
  <c r="L35" i="3"/>
  <c r="K35" i="3"/>
  <c r="AB34" i="3"/>
  <c r="AA34" i="3"/>
  <c r="Y34" i="3"/>
  <c r="X34" i="3"/>
  <c r="W34" i="3"/>
  <c r="V34" i="3"/>
  <c r="U34" i="3"/>
  <c r="N34" i="3"/>
  <c r="M34" i="3"/>
  <c r="L34" i="3"/>
  <c r="K34" i="3"/>
  <c r="AB33" i="3"/>
  <c r="AA33" i="3"/>
  <c r="Y33" i="3"/>
  <c r="X33" i="3"/>
  <c r="W33" i="3"/>
  <c r="V33" i="3"/>
  <c r="U33" i="3"/>
  <c r="N33" i="3"/>
  <c r="M33" i="3"/>
  <c r="L33" i="3"/>
  <c r="K33" i="3"/>
  <c r="AB32" i="3"/>
  <c r="AA32" i="3"/>
  <c r="Y32" i="3"/>
  <c r="X32" i="3"/>
  <c r="W32" i="3"/>
  <c r="V32" i="3"/>
  <c r="U32" i="3"/>
  <c r="N32" i="3"/>
  <c r="M32" i="3"/>
  <c r="L32" i="3"/>
  <c r="K32" i="3"/>
  <c r="J32" i="3"/>
  <c r="AB31" i="3"/>
  <c r="AA31" i="3"/>
  <c r="Y31" i="3"/>
  <c r="X31" i="3"/>
  <c r="W31" i="3"/>
  <c r="V31" i="3"/>
  <c r="U31" i="3"/>
  <c r="N31" i="3"/>
  <c r="M31" i="3"/>
  <c r="L31" i="3"/>
  <c r="K31" i="3"/>
  <c r="AB30" i="3"/>
  <c r="AA30" i="3"/>
  <c r="Y30" i="3"/>
  <c r="X30" i="3"/>
  <c r="W30" i="3"/>
  <c r="V30" i="3"/>
  <c r="U30" i="3"/>
  <c r="N30" i="3"/>
  <c r="M30" i="3"/>
  <c r="AB29" i="3"/>
  <c r="AA29" i="3"/>
  <c r="Y29" i="3"/>
  <c r="X29" i="3"/>
  <c r="W29" i="3"/>
  <c r="V29" i="3"/>
  <c r="U29" i="3"/>
  <c r="N29" i="3"/>
  <c r="M29" i="3"/>
  <c r="L29" i="3"/>
  <c r="AB28" i="3"/>
  <c r="AA28" i="3"/>
  <c r="Y28" i="3"/>
  <c r="X28" i="3"/>
  <c r="W28" i="3"/>
  <c r="V28" i="3"/>
  <c r="U28" i="3"/>
  <c r="N28" i="3"/>
  <c r="M28" i="3"/>
  <c r="L28" i="3"/>
  <c r="K28" i="3"/>
  <c r="AB27" i="3"/>
  <c r="AA27" i="3"/>
  <c r="Y27" i="3"/>
  <c r="X27" i="3"/>
  <c r="W27" i="3"/>
  <c r="V27" i="3"/>
  <c r="U27" i="3"/>
  <c r="N27" i="3"/>
  <c r="M27" i="3"/>
  <c r="L27" i="3"/>
  <c r="K27" i="3"/>
  <c r="AB26" i="3"/>
  <c r="AA26" i="3"/>
  <c r="Y26" i="3"/>
  <c r="X26" i="3"/>
  <c r="W26" i="3"/>
  <c r="V26" i="3"/>
  <c r="U26" i="3"/>
  <c r="N26" i="3"/>
  <c r="M26" i="3"/>
  <c r="L26" i="3"/>
  <c r="K26" i="3"/>
  <c r="J26" i="3"/>
  <c r="AB25" i="3"/>
  <c r="AA25" i="3"/>
  <c r="Y25" i="3"/>
  <c r="X25" i="3"/>
  <c r="W25" i="3"/>
  <c r="V25" i="3"/>
  <c r="U25" i="3"/>
  <c r="N25" i="3"/>
  <c r="M25" i="3"/>
  <c r="L25" i="3"/>
  <c r="K25" i="3"/>
  <c r="AB24" i="3"/>
  <c r="AA24" i="3"/>
  <c r="Y24" i="3"/>
  <c r="X24" i="3"/>
  <c r="W24" i="3"/>
  <c r="V24" i="3"/>
  <c r="U24" i="3"/>
  <c r="N24" i="3"/>
  <c r="M24" i="3"/>
  <c r="L24" i="3"/>
  <c r="K24" i="3"/>
  <c r="AB23" i="3"/>
  <c r="AA23" i="3"/>
  <c r="Y23" i="3"/>
  <c r="X23" i="3"/>
  <c r="W23" i="3"/>
  <c r="V23" i="3"/>
  <c r="U23" i="3"/>
  <c r="N23" i="3"/>
  <c r="M23" i="3"/>
  <c r="L23" i="3"/>
  <c r="K23" i="3"/>
  <c r="AB22" i="3"/>
  <c r="AA22" i="3"/>
  <c r="Y22" i="3"/>
  <c r="X22" i="3"/>
  <c r="W22" i="3"/>
  <c r="V22" i="3"/>
  <c r="U22" i="3"/>
  <c r="N22" i="3"/>
  <c r="M22" i="3"/>
  <c r="L22" i="3"/>
  <c r="K22" i="3"/>
  <c r="AB21" i="3"/>
  <c r="AA21" i="3"/>
  <c r="Y21" i="3"/>
  <c r="X21" i="3"/>
  <c r="W21" i="3"/>
  <c r="V21" i="3"/>
  <c r="U21" i="3"/>
  <c r="N21" i="3"/>
  <c r="M21" i="3"/>
  <c r="L21" i="3"/>
  <c r="K21" i="3"/>
  <c r="AB20" i="3"/>
  <c r="AA20" i="3"/>
  <c r="Y20" i="3"/>
  <c r="X20" i="3"/>
  <c r="W20" i="3"/>
  <c r="V20" i="3"/>
  <c r="U20" i="3"/>
  <c r="N20" i="3"/>
  <c r="M20" i="3"/>
  <c r="L20" i="3"/>
  <c r="K20" i="3"/>
  <c r="AB19" i="3"/>
  <c r="AA19" i="3"/>
  <c r="Y19" i="3"/>
  <c r="X19" i="3"/>
  <c r="W19" i="3"/>
  <c r="V19" i="3"/>
  <c r="U19" i="3"/>
  <c r="N19" i="3"/>
  <c r="M19" i="3"/>
  <c r="L19" i="3"/>
  <c r="K19" i="3"/>
  <c r="AB18" i="3"/>
  <c r="AA18" i="3"/>
  <c r="Y18" i="3"/>
  <c r="X18" i="3"/>
  <c r="W18" i="3"/>
  <c r="V18" i="3"/>
  <c r="U18" i="3"/>
  <c r="N18" i="3"/>
  <c r="M18" i="3"/>
  <c r="L18" i="3"/>
  <c r="K18" i="3"/>
  <c r="AB17" i="3"/>
  <c r="AA17" i="3"/>
  <c r="Y17" i="3"/>
  <c r="X17" i="3"/>
  <c r="W17" i="3"/>
  <c r="V17" i="3"/>
  <c r="U17" i="3"/>
  <c r="N17" i="3"/>
  <c r="M17" i="3"/>
  <c r="L17" i="3"/>
  <c r="K17" i="3"/>
  <c r="AB16" i="3"/>
  <c r="AA16" i="3"/>
  <c r="Y16" i="3"/>
  <c r="X16" i="3"/>
  <c r="W16" i="3"/>
  <c r="V16" i="3"/>
  <c r="U16" i="3"/>
  <c r="N16" i="3"/>
  <c r="M16" i="3"/>
  <c r="L16" i="3"/>
  <c r="AB15" i="3"/>
  <c r="AA15" i="3"/>
  <c r="Y15" i="3"/>
  <c r="X15" i="3"/>
  <c r="W15" i="3"/>
  <c r="V15" i="3"/>
  <c r="U15" i="3"/>
  <c r="N15" i="3"/>
  <c r="M15" i="3"/>
  <c r="L15" i="3"/>
  <c r="K15" i="3"/>
  <c r="AB14" i="3"/>
  <c r="AA14" i="3"/>
  <c r="Y14" i="3"/>
  <c r="X14" i="3"/>
  <c r="W14" i="3"/>
  <c r="V14" i="3"/>
  <c r="U14" i="3"/>
  <c r="N14" i="3"/>
  <c r="M14" i="3"/>
  <c r="L14" i="3"/>
  <c r="K14" i="3"/>
  <c r="AB13" i="3"/>
  <c r="AA13" i="3"/>
  <c r="Y13" i="3"/>
  <c r="X13" i="3"/>
  <c r="W13" i="3"/>
  <c r="V13" i="3"/>
  <c r="U13" i="3"/>
  <c r="N13" i="3"/>
  <c r="M13" i="3"/>
  <c r="L13" i="3"/>
  <c r="K13" i="3"/>
  <c r="AB12" i="3"/>
  <c r="AA12" i="3"/>
  <c r="Y12" i="3"/>
  <c r="X12" i="3"/>
  <c r="W12" i="3"/>
  <c r="V12" i="3"/>
  <c r="U12" i="3"/>
  <c r="N12" i="3"/>
  <c r="M12" i="3"/>
  <c r="L12" i="3"/>
  <c r="K12" i="3"/>
  <c r="AB11" i="3"/>
  <c r="AA11" i="3"/>
  <c r="Y11" i="3"/>
  <c r="X11" i="3"/>
  <c r="W11" i="3"/>
  <c r="V11" i="3"/>
  <c r="U11" i="3"/>
  <c r="N11" i="3"/>
  <c r="M11" i="3"/>
  <c r="L11" i="3"/>
  <c r="K11" i="3"/>
  <c r="AB9" i="3"/>
  <c r="AA9" i="3"/>
  <c r="Y9" i="3"/>
  <c r="X9" i="3"/>
  <c r="W9" i="3"/>
  <c r="V9" i="3"/>
  <c r="U9" i="3"/>
  <c r="N9" i="3"/>
  <c r="M9" i="3"/>
  <c r="L9" i="3"/>
  <c r="AB8" i="3"/>
  <c r="AA8" i="3"/>
  <c r="Y8" i="3"/>
  <c r="X8" i="3"/>
  <c r="W8" i="3"/>
  <c r="V8" i="3"/>
  <c r="U8" i="3"/>
  <c r="N8" i="3"/>
  <c r="M8" i="3"/>
  <c r="L8" i="3"/>
  <c r="K8" i="3"/>
  <c r="AB7" i="3"/>
  <c r="AA7" i="3"/>
  <c r="Y7" i="3"/>
  <c r="X7" i="3"/>
  <c r="W7" i="3"/>
  <c r="V7" i="3"/>
  <c r="U7" i="3"/>
  <c r="N7" i="3"/>
  <c r="M7" i="3"/>
  <c r="L7" i="3"/>
  <c r="K7" i="3"/>
  <c r="C68" i="2"/>
  <c r="C29" i="2"/>
  <c r="C19" i="2"/>
  <c r="K30" i="3" l="1"/>
  <c r="K45" i="3"/>
  <c r="J54" i="3"/>
  <c r="J66" i="3"/>
  <c r="R66" i="3" s="1"/>
  <c r="S66" i="3" s="1"/>
  <c r="R54" i="3"/>
  <c r="S54" i="3" s="1"/>
  <c r="J8" i="3"/>
  <c r="J18" i="3"/>
  <c r="R18" i="3" s="1"/>
  <c r="S18" i="3" s="1"/>
  <c r="J27" i="3"/>
  <c r="R27" i="3" s="1"/>
  <c r="S27" i="3" s="1"/>
  <c r="J67" i="3"/>
  <c r="R67" i="3" s="1"/>
  <c r="S67" i="3" s="1"/>
  <c r="J41" i="3"/>
  <c r="J48" i="3"/>
  <c r="J31" i="3"/>
  <c r="R31" i="3" s="1"/>
  <c r="S31" i="3" s="1"/>
  <c r="L30" i="3"/>
  <c r="R32" i="3"/>
  <c r="S32" i="3" s="1"/>
  <c r="J33" i="3"/>
  <c r="R33" i="3" s="1"/>
  <c r="S33" i="3" s="1"/>
  <c r="K38" i="3"/>
  <c r="J45" i="3"/>
  <c r="R45" i="3" s="1"/>
  <c r="S45" i="3" s="1"/>
  <c r="J52" i="3"/>
  <c r="J55" i="3"/>
  <c r="R55" i="3" s="1"/>
  <c r="S55" i="3" s="1"/>
  <c r="J61" i="3"/>
  <c r="R61" i="3" s="1"/>
  <c r="S61" i="3" s="1"/>
  <c r="K16" i="3"/>
  <c r="J20" i="3"/>
  <c r="R20" i="3" s="1"/>
  <c r="S20" i="3" s="1"/>
  <c r="J29" i="3"/>
  <c r="J30" i="3"/>
  <c r="K41" i="3"/>
  <c r="J44" i="3"/>
  <c r="R44" i="3" s="1"/>
  <c r="S44" i="3" s="1"/>
  <c r="K48" i="3"/>
  <c r="K51" i="3"/>
  <c r="J53" i="3"/>
  <c r="R53" i="3" s="1"/>
  <c r="S53" i="3" s="1"/>
  <c r="J37" i="3"/>
  <c r="R37" i="3" s="1"/>
  <c r="S37" i="3" s="1"/>
  <c r="J64" i="3"/>
  <c r="R64" i="3" s="1"/>
  <c r="S64" i="3" s="1"/>
  <c r="K68" i="3"/>
  <c r="R68" i="3" s="1"/>
  <c r="S68" i="3" s="1"/>
  <c r="J17" i="3"/>
  <c r="R17" i="3" s="1"/>
  <c r="S17" i="3" s="1"/>
  <c r="J25" i="3"/>
  <c r="R25" i="3" s="1"/>
  <c r="S25" i="3" s="1"/>
  <c r="R26" i="3"/>
  <c r="S26" i="3" s="1"/>
  <c r="J35" i="3"/>
  <c r="R35" i="3" s="1"/>
  <c r="S35" i="3" s="1"/>
  <c r="J43" i="3"/>
  <c r="R43" i="3" s="1"/>
  <c r="S43" i="3" s="1"/>
  <c r="J50" i="3"/>
  <c r="R50" i="3" s="1"/>
  <c r="S50" i="3" s="1"/>
  <c r="J58" i="3"/>
  <c r="R58" i="3" s="1"/>
  <c r="S58" i="3" s="1"/>
  <c r="J62" i="3"/>
  <c r="R62" i="3" s="1"/>
  <c r="S62" i="3" s="1"/>
  <c r="J9" i="3"/>
  <c r="J13" i="3"/>
  <c r="R13" i="3" s="1"/>
  <c r="S13" i="3" s="1"/>
  <c r="J14" i="3"/>
  <c r="R14" i="3" s="1"/>
  <c r="S14" i="3" s="1"/>
  <c r="J16" i="3"/>
  <c r="J22" i="3"/>
  <c r="R22" i="3" s="1"/>
  <c r="S22" i="3" s="1"/>
  <c r="J24" i="3"/>
  <c r="R24" i="3" s="1"/>
  <c r="S24" i="3" s="1"/>
  <c r="J34" i="3"/>
  <c r="R34" i="3" s="1"/>
  <c r="S34" i="3" s="1"/>
  <c r="J39" i="3"/>
  <c r="R39" i="3" s="1"/>
  <c r="S39" i="3" s="1"/>
  <c r="J42" i="3"/>
  <c r="R42" i="3" s="1"/>
  <c r="S42" i="3" s="1"/>
  <c r="J47" i="3"/>
  <c r="R47" i="3" s="1"/>
  <c r="S47" i="3" s="1"/>
  <c r="J49" i="3"/>
  <c r="R49" i="3" s="1"/>
  <c r="S49" i="3" s="1"/>
  <c r="J56" i="3"/>
  <c r="R56" i="3" s="1"/>
  <c r="S56" i="3" s="1"/>
  <c r="J60" i="3"/>
  <c r="R60" i="3" s="1"/>
  <c r="S60" i="3" s="1"/>
  <c r="R8" i="3"/>
  <c r="S8" i="3" s="1"/>
  <c r="R74" i="3"/>
  <c r="S74" i="3" s="1"/>
  <c r="R76" i="3"/>
  <c r="S76" i="3" s="1"/>
  <c r="R78" i="3"/>
  <c r="S78" i="3" s="1"/>
  <c r="R80" i="3"/>
  <c r="S80" i="3" s="1"/>
  <c r="R82" i="3"/>
  <c r="S82" i="3" s="1"/>
  <c r="J7" i="3"/>
  <c r="R7" i="3" s="1"/>
  <c r="S7" i="3" s="1"/>
  <c r="K9" i="3"/>
  <c r="J11" i="3"/>
  <c r="R11" i="3" s="1"/>
  <c r="S11" i="3" s="1"/>
  <c r="J12" i="3"/>
  <c r="R12" i="3" s="1"/>
  <c r="S12" i="3" s="1"/>
  <c r="J15" i="3"/>
  <c r="R15" i="3" s="1"/>
  <c r="S15" i="3" s="1"/>
  <c r="J21" i="3"/>
  <c r="R21" i="3" s="1"/>
  <c r="S21" i="3" s="1"/>
  <c r="J23" i="3"/>
  <c r="R23" i="3" s="1"/>
  <c r="S23" i="3" s="1"/>
  <c r="J38" i="3"/>
  <c r="R40" i="3"/>
  <c r="S40" i="3" s="1"/>
  <c r="J46" i="3"/>
  <c r="R46" i="3" s="1"/>
  <c r="S46" i="3" s="1"/>
  <c r="J59" i="3"/>
  <c r="R59" i="3" s="1"/>
  <c r="S59" i="3" s="1"/>
  <c r="J65" i="3"/>
  <c r="R65" i="3" s="1"/>
  <c r="S65" i="3" s="1"/>
  <c r="R70" i="3"/>
  <c r="S70" i="3" s="1"/>
  <c r="J19" i="3"/>
  <c r="R19" i="3" s="1"/>
  <c r="S19" i="3" s="1"/>
  <c r="J28" i="3"/>
  <c r="R28" i="3" s="1"/>
  <c r="S28" i="3" s="1"/>
  <c r="K29" i="3"/>
  <c r="J36" i="3"/>
  <c r="R36" i="3" s="1"/>
  <c r="S36" i="3" s="1"/>
  <c r="J51" i="3"/>
  <c r="K52" i="3"/>
  <c r="R52" i="3" s="1"/>
  <c r="S52" i="3" s="1"/>
  <c r="J57" i="3"/>
  <c r="R57" i="3" s="1"/>
  <c r="S57" i="3" s="1"/>
  <c r="J63" i="3"/>
  <c r="R63" i="3" s="1"/>
  <c r="S63" i="3" s="1"/>
  <c r="J69" i="3"/>
  <c r="R69" i="3" s="1"/>
  <c r="S69" i="3" s="1"/>
  <c r="R71" i="3"/>
  <c r="S71" i="3" s="1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4" i="4"/>
  <c r="R30" i="3" l="1"/>
  <c r="S30" i="3" s="1"/>
  <c r="R41" i="3"/>
  <c r="S41" i="3" s="1"/>
  <c r="R48" i="3"/>
  <c r="S48" i="3" s="1"/>
  <c r="R9" i="3"/>
  <c r="S9" i="3" s="1"/>
  <c r="R51" i="3"/>
  <c r="S51" i="3" s="1"/>
  <c r="R38" i="3"/>
  <c r="S38" i="3" s="1"/>
  <c r="R16" i="3"/>
  <c r="S16" i="3" s="1"/>
  <c r="R29" i="3"/>
  <c r="S29" i="3" s="1"/>
  <c r="T7" i="4"/>
  <c r="T5" i="4"/>
  <c r="P9" i="4" l="1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" i="4"/>
  <c r="K4" i="4"/>
  <c r="T8" i="4" l="1"/>
  <c r="Q9" i="4" s="1"/>
</calcChain>
</file>

<file path=xl/connections.xml><?xml version="1.0" encoding="utf-8"?>
<connections xmlns="http://schemas.openxmlformats.org/spreadsheetml/2006/main">
  <connection id="1" keepAlive="1" name="Consulta - MB52 (2)" description="Conexión a la consulta 'MB52 (2)' en el libro." type="5" refreshedVersion="6" background="1" saveData="1">
    <dbPr connection="Provider=Microsoft.Mashup.OleDb.1;Data Source=$Workbook$;Location=MB52 (2);Extended Properties=&quot;&quot;" command="SELECT * FROM [MB52 (2)]"/>
  </connection>
</connections>
</file>

<file path=xl/sharedStrings.xml><?xml version="1.0" encoding="utf-8"?>
<sst xmlns="http://schemas.openxmlformats.org/spreadsheetml/2006/main" count="2857" uniqueCount="1389">
  <si>
    <t>Columna1</t>
  </si>
  <si>
    <t>Columna2</t>
  </si>
  <si>
    <t>Material</t>
  </si>
  <si>
    <t>Alm.</t>
  </si>
  <si>
    <t>Texto breve de material</t>
  </si>
  <si>
    <t xml:space="preserve"> Libre utilización</t>
  </si>
  <si>
    <t>UMB</t>
  </si>
  <si>
    <t>Avja. Natural ZENU x 580 g</t>
  </si>
  <si>
    <t>UN</t>
  </si>
  <si>
    <t>N/A Salsa CIRUELA x 150 gr x 50 und</t>
  </si>
  <si>
    <t>N/A Salsa HAWAIANA x 100 gr x 75 und</t>
  </si>
  <si>
    <t>N/ASalsa HAWAIANA x 150 gr X 50 und</t>
  </si>
  <si>
    <t>Harina EL TRIGAL papel x 25 kg</t>
  </si>
  <si>
    <t>KG</t>
  </si>
  <si>
    <t>N/A OleiN/A de palma</t>
  </si>
  <si>
    <t>Aceite solido de palma</t>
  </si>
  <si>
    <t>N/A Aceitunas tajadas sin pepa</t>
  </si>
  <si>
    <t>N/A Ahumado especial 655-070</t>
  </si>
  <si>
    <t>N/A Ahumado soluble 655-080</t>
  </si>
  <si>
    <t>N/A Aislado de soya pastas</t>
  </si>
  <si>
    <t>N/A Aji jalapeños</t>
  </si>
  <si>
    <t>Ajo en polvo</t>
  </si>
  <si>
    <t>N/A Ajo liquido</t>
  </si>
  <si>
    <t>N/A Alcaparras</t>
  </si>
  <si>
    <t>N/A Almidon de yuca</t>
  </si>
  <si>
    <t>Antioxidante G50</t>
  </si>
  <si>
    <t>Aroma de pollo cl6265</t>
  </si>
  <si>
    <t>N/A Arveja N/Atural enlatada</t>
  </si>
  <si>
    <t>Azucar Comun</t>
  </si>
  <si>
    <t>N/A Base custom chicken</t>
  </si>
  <si>
    <t>N/A Base gelpo</t>
  </si>
  <si>
    <t>Bicarbonato de sodio</t>
  </si>
  <si>
    <t>N/A Canela en polvo</t>
  </si>
  <si>
    <t>Caramelo liquido</t>
  </si>
  <si>
    <t>N/A Carne blanca de pollo</t>
  </si>
  <si>
    <t>N/A Carne oscura de pollo</t>
  </si>
  <si>
    <t>N/A Carragenina semirefinada</t>
  </si>
  <si>
    <t>Cebolla en polvo</t>
  </si>
  <si>
    <t>Cebolla escama</t>
  </si>
  <si>
    <t>N/A Cerdo MDM</t>
  </si>
  <si>
    <t>N/A Cerveza pilsen en barril</t>
  </si>
  <si>
    <t>Champiñones al vino</t>
  </si>
  <si>
    <t>N/A Champiñones enlatados</t>
  </si>
  <si>
    <t>Cilantro en pepa</t>
  </si>
  <si>
    <t>Color caramelo</t>
  </si>
  <si>
    <t>Color carmin de cochinilla</t>
  </si>
  <si>
    <t>N/A Color carne cafe wheatex</t>
  </si>
  <si>
    <t>Color naranja NF</t>
  </si>
  <si>
    <t>Color rojo bayer</t>
  </si>
  <si>
    <t>...</t>
  </si>
  <si>
    <t>Color rojo punzo puro</t>
  </si>
  <si>
    <t>Colorante rojo FDC 3</t>
  </si>
  <si>
    <t>Comino molido</t>
  </si>
  <si>
    <t>N/A Condimento brecer</t>
  </si>
  <si>
    <t>N/A Condimento brepav</t>
  </si>
  <si>
    <t>N/A Condimento brepo</t>
  </si>
  <si>
    <t>N/A Condimento carnico suizo 4244</t>
  </si>
  <si>
    <t>N/A Condimento cervecero estandar</t>
  </si>
  <si>
    <t>N/A Condimento cervero fino</t>
  </si>
  <si>
    <t>N/A Condimento cni 207</t>
  </si>
  <si>
    <t>N/A Condimento embutido de pollo cl2204</t>
  </si>
  <si>
    <t>Condimento faci CMC</t>
  </si>
  <si>
    <t>N/A Condimento hamburguesa nt9790</t>
  </si>
  <si>
    <t>Condimento jamon cocido</t>
  </si>
  <si>
    <t>Condimento linea pavo 2423</t>
  </si>
  <si>
    <t>N/A Condimento mezcla as-1000griffith</t>
  </si>
  <si>
    <t>Condimento mezcla hamburguesa 2</t>
  </si>
  <si>
    <t>N/A Condimento mezcla hamburguesa de res</t>
  </si>
  <si>
    <t>Condimento mezcla hsas no.4</t>
  </si>
  <si>
    <t>Condimento mezcla hsas no.5</t>
  </si>
  <si>
    <t>N/A Condimento mezcla pernil</t>
  </si>
  <si>
    <t>N/A Condimento salami rica</t>
  </si>
  <si>
    <t>N/A Condimento salchicha 562210spm</t>
  </si>
  <si>
    <t>N/A Condimento salchicha perrero rica</t>
  </si>
  <si>
    <t>Mezcla saborizar salchicha ZN</t>
  </si>
  <si>
    <t>Mezcla saborizar spietz</t>
  </si>
  <si>
    <t>N/A Condimento sr100</t>
  </si>
  <si>
    <t>Condimento tzt15</t>
  </si>
  <si>
    <t>N/A Corazon de cerdo</t>
  </si>
  <si>
    <t>N/A Cuero de cerdo foraneo</t>
  </si>
  <si>
    <t>Dextrosa Monohidratada</t>
  </si>
  <si>
    <t>Eritorbato de sodio</t>
  </si>
  <si>
    <t>N/A Extracto proteico de cerdo</t>
  </si>
  <si>
    <t>N/A Fos</t>
  </si>
  <si>
    <t>Gancho 100t</t>
  </si>
  <si>
    <t>Gancho 638</t>
  </si>
  <si>
    <t>Gancho clip 1506 4 x1.50</t>
  </si>
  <si>
    <t>Gancho clip 1509 5 x1.75</t>
  </si>
  <si>
    <t>Gancho clip 625</t>
  </si>
  <si>
    <t>Gancho clip 632</t>
  </si>
  <si>
    <t>Gancho ZR 411</t>
  </si>
  <si>
    <t>N/A Habichuela enlatada</t>
  </si>
  <si>
    <t>N/A Harina de maiz precocida amarilla</t>
  </si>
  <si>
    <t>N/A Harina de trigo duro</t>
  </si>
  <si>
    <t>Hilo cañamo</t>
  </si>
  <si>
    <t>N/A Hilo de polipropileno</t>
  </si>
  <si>
    <t>M</t>
  </si>
  <si>
    <t>Huevos</t>
  </si>
  <si>
    <t>Humo chardex h</t>
  </si>
  <si>
    <t>Humo enviro 24p</t>
  </si>
  <si>
    <t>Humo Grillin 14901</t>
  </si>
  <si>
    <t>Humo liquido p 50</t>
  </si>
  <si>
    <t>Humo ss345 poli master taste</t>
  </si>
  <si>
    <t>Humo ss57d poli master taste</t>
  </si>
  <si>
    <t>Humo xtend</t>
  </si>
  <si>
    <t>Lactato de sodio</t>
  </si>
  <si>
    <t>Laminilla de colageno 380</t>
  </si>
  <si>
    <t>N/A Laminilla de polietileno 11 x11</t>
  </si>
  <si>
    <t>Laminilla de polietileno 14 x14</t>
  </si>
  <si>
    <t>Laminilla de polietileno 16.4 x13.2</t>
  </si>
  <si>
    <t>N/A Laurel en escamas</t>
  </si>
  <si>
    <t>Laurel en polvo</t>
  </si>
  <si>
    <t>Lazada 20 natural</t>
  </si>
  <si>
    <t>N/A Luctaroma choped</t>
  </si>
  <si>
    <t>N/A Malla ahu jif pack 12 sqr</t>
  </si>
  <si>
    <t>Malla 14DIAU-45MR-SM6</t>
  </si>
  <si>
    <t>Malla ahu jif pak 12 diamante s4</t>
  </si>
  <si>
    <t>N/A Malla ela 16t</t>
  </si>
  <si>
    <t>N/A Malla ela a5-b18</t>
  </si>
  <si>
    <t>N/A Malla ela zip net 24</t>
  </si>
  <si>
    <t>N/A Malla estoquinete</t>
  </si>
  <si>
    <t>N/A Malla plastica roja 10 x 27</t>
  </si>
  <si>
    <t>Malla plastica naranja 10 x 32</t>
  </si>
  <si>
    <t>Malla envasado amarilla 10g</t>
  </si>
  <si>
    <t>N/A Malla zip net 28 Roja - Verde</t>
  </si>
  <si>
    <t>Masetero</t>
  </si>
  <si>
    <t>Miga de pan hamburguesa</t>
  </si>
  <si>
    <t>N/A Monoglutamato de sodio</t>
  </si>
  <si>
    <t>N/A Nuez del brasil</t>
  </si>
  <si>
    <t>Nuez moscada molida</t>
  </si>
  <si>
    <t>Oleoresina paprika</t>
  </si>
  <si>
    <t>N/A Optiform SD 4</t>
  </si>
  <si>
    <t>Oregano en escamas</t>
  </si>
  <si>
    <t>Paprika polvo</t>
  </si>
  <si>
    <t>Mezcla saborizar paprika soluble</t>
  </si>
  <si>
    <t>N/A Pechuga de pollo</t>
  </si>
  <si>
    <t>Perejil en escamas</t>
  </si>
  <si>
    <t>N/A Piel de pollo con preparacion</t>
  </si>
  <si>
    <t>N/A Pijamas de pollo rica</t>
  </si>
  <si>
    <t>Pimenton deshidratado</t>
  </si>
  <si>
    <t>N/A Pimenton rojo en escamas</t>
  </si>
  <si>
    <t>Pimienta blanca molida</t>
  </si>
  <si>
    <t>N/A Pimienta liquida 52214/ce</t>
  </si>
  <si>
    <t>Pimienta negra en polvo</t>
  </si>
  <si>
    <t>Pimienta negra molida</t>
  </si>
  <si>
    <t>N/A Pimienta preparada</t>
  </si>
  <si>
    <t>N/A Pirofosfato acido de sodio</t>
  </si>
  <si>
    <t>N/A PL 12</t>
  </si>
  <si>
    <t>N/A Pijama pollo Suizo</t>
  </si>
  <si>
    <t>N/A Pollo MDM</t>
  </si>
  <si>
    <t>N/A Pollo MDM 20% o mas</t>
  </si>
  <si>
    <t>N/A Pollo MDM con restriccion</t>
  </si>
  <si>
    <t>Pollo MDM nacional</t>
  </si>
  <si>
    <t>Polvo praga</t>
  </si>
  <si>
    <t>N/A Premix vitamina salchiniños 2-30</t>
  </si>
  <si>
    <t>Prosoya clf- 2620</t>
  </si>
  <si>
    <t>Texturizado de Soya Molido</t>
  </si>
  <si>
    <t>N/A Proteina centex 4061</t>
  </si>
  <si>
    <t>N/A Proteina de soya 70 porciento pastas</t>
  </si>
  <si>
    <t>Proteina response 4412</t>
  </si>
  <si>
    <t>N/A Queso fresco amarillo</t>
  </si>
  <si>
    <t>N/A Sabor carne en polvo 84164a</t>
  </si>
  <si>
    <t>Sabor carne liquido 84162a</t>
  </si>
  <si>
    <t>Sabor a ciruela</t>
  </si>
  <si>
    <t>N/A Sabor a pollo schon zenu</t>
  </si>
  <si>
    <t>Sabor de pavo 9/ca0075</t>
  </si>
  <si>
    <t>N/A Sabor pollo suizo</t>
  </si>
  <si>
    <t>Aroma de tocino</t>
  </si>
  <si>
    <t>Sabor roastin</t>
  </si>
  <si>
    <t>Sabor robust</t>
  </si>
  <si>
    <t>Sal yodada</t>
  </si>
  <si>
    <t>N/A Salsa Chimichurri</t>
  </si>
  <si>
    <t>Salsa inglesa</t>
  </si>
  <si>
    <t>Solucion color caramelo</t>
  </si>
  <si>
    <t>Sorbato de potasio</t>
  </si>
  <si>
    <t>N/A Super cura</t>
  </si>
  <si>
    <t>N/A Tomillo en escamas</t>
  </si>
  <si>
    <t>N/A Tripa amis cerveroni zenu x500g</t>
  </si>
  <si>
    <t>Tripa bior salchicha imp big pollo</t>
  </si>
  <si>
    <t>Tripa bior salchicha imp big res</t>
  </si>
  <si>
    <t>Tripa celulosa 14 x 100</t>
  </si>
  <si>
    <t>Tripa celulosa 14x110</t>
  </si>
  <si>
    <t>N/A Tripa celulosa 15 x110</t>
  </si>
  <si>
    <t>Tripa celulosa 15x125</t>
  </si>
  <si>
    <t>Tripa celulosa 16x100</t>
  </si>
  <si>
    <t>Tripa celulosa 17 x110</t>
  </si>
  <si>
    <t>Tripa celulosa 17x100</t>
  </si>
  <si>
    <t>Tripa celulosa 17x125</t>
  </si>
  <si>
    <t>N/A Tripa celulosa 18x110</t>
  </si>
  <si>
    <t>Tripa celulosa 18x125</t>
  </si>
  <si>
    <t>Tripa celulosa 18x84</t>
  </si>
  <si>
    <t>N/A Tripa celulosa 18x95</t>
  </si>
  <si>
    <t>N/A Tripa celulosa 20x110</t>
  </si>
  <si>
    <t>N/A Tripa celulosa 21x100</t>
  </si>
  <si>
    <t>N/A Tripa celulosa 22x110</t>
  </si>
  <si>
    <t>Tripa celulosa 22x84</t>
  </si>
  <si>
    <t>N/A Tripa celulosa 23x110</t>
  </si>
  <si>
    <t>Tripa celulosa 23x125</t>
  </si>
  <si>
    <t>Tripa celulosa 24x100</t>
  </si>
  <si>
    <t>N/A Tripa celulosa 28x95</t>
  </si>
  <si>
    <t>N/A Tripa celulosa americana 28x95</t>
  </si>
  <si>
    <t>N/A Tripa celulosa americanita 22x110</t>
  </si>
  <si>
    <t>N/A Tripa celulosa Long 23x84</t>
  </si>
  <si>
    <t>N/A Tripa celulosa perrero 17 x110</t>
  </si>
  <si>
    <t>Tripa celulosa ranchera 19x125</t>
  </si>
  <si>
    <t>Tripa celulosa ranchera 23x125</t>
  </si>
  <si>
    <t>N/A Tripa celulosa 22 x 95</t>
  </si>
  <si>
    <t>N/A Tripa cervecero ahumado x 500g</t>
  </si>
  <si>
    <t>N/A Tripa cervecero ahumado x1000g</t>
  </si>
  <si>
    <t>N/A Tripa cervecero aleman x 500g</t>
  </si>
  <si>
    <t>N/A Tripa cervecero aleman x1.5kg</t>
  </si>
  <si>
    <t>Tripa cervecero Cunit x1 kg</t>
  </si>
  <si>
    <t>N/A Tripa coex cn 6.5</t>
  </si>
  <si>
    <t>N/A Tripa coex cn 7</t>
  </si>
  <si>
    <t>Tripa colageno 21</t>
  </si>
  <si>
    <t>Tripa colageno 25</t>
  </si>
  <si>
    <t>Tripa colageno 26</t>
  </si>
  <si>
    <t>Tripa colageno 28</t>
  </si>
  <si>
    <t>Tripa colageno 30</t>
  </si>
  <si>
    <t>N/A Tripa fib 1 1/2</t>
  </si>
  <si>
    <t>Tripa fibrosa cervecero premiun Zenu 500</t>
  </si>
  <si>
    <t>N/A Tripa fibrosa cerveceroSelecRica500g</t>
  </si>
  <si>
    <t>N/A Tripa fibrosa cerveroni x 1.2 kg</t>
  </si>
  <si>
    <t>N/A Tripa fib schon cervecero zenu 1.5 k</t>
  </si>
  <si>
    <t>N/A Tripa fibrosaSchon.CerveceroZenu500g</t>
  </si>
  <si>
    <t>N/A Tripa fib sin imp 2 1/2</t>
  </si>
  <si>
    <t>N/A Tripa fibrosaCerveceroFinoRica500g</t>
  </si>
  <si>
    <t>N/A TripaFibrosaCerveceroTradicional500g</t>
  </si>
  <si>
    <t>N/A Tripa fibrosa cervecero trad x1.5 kg</t>
  </si>
  <si>
    <t>N/A Tripa fibrosa cerveroni x 750g</t>
  </si>
  <si>
    <t>N/A Tripa fibrosa sin impresion 21/4</t>
  </si>
  <si>
    <t>N/A Tripa nalo gli 55</t>
  </si>
  <si>
    <t>Tripa poliamida 20</t>
  </si>
  <si>
    <t>Tripa poliamida 24</t>
  </si>
  <si>
    <t>N/A Tripa poliamida amipack 24</t>
  </si>
  <si>
    <t>N/A Tripa poliamida maxischa cal 24</t>
  </si>
  <si>
    <t>N/A Tripa poliamida rollo pavo</t>
  </si>
  <si>
    <t>Tripa salchichon ahumado x250g</t>
  </si>
  <si>
    <t>N/A Tripa salchichon de polloX 250g Zenu</t>
  </si>
  <si>
    <t>N/A Tripa salchichon de polloX 500g Zenu</t>
  </si>
  <si>
    <t>N/A Tripa Salchichon pollo 750g Zenu</t>
  </si>
  <si>
    <t>N/A Tripa salchichon brost x1 kg</t>
  </si>
  <si>
    <t>N/A Tripa salchichon cervecero est x1 kg</t>
  </si>
  <si>
    <t>Tripa salchichon cervecero rica x1 kg</t>
  </si>
  <si>
    <t>Tripa salchichon cervecero rica x100g</t>
  </si>
  <si>
    <t>Tripa salchichon extra x 500g</t>
  </si>
  <si>
    <t>Tripa salchichon pollo rica x 250g</t>
  </si>
  <si>
    <t>Tripa salchichon pollo rica x 500g</t>
  </si>
  <si>
    <t>Tripa salchichon pollo rica x 750g</t>
  </si>
  <si>
    <t>Tripa salchichon pollo rica x100g</t>
  </si>
  <si>
    <t>N/A Tripa salchichon pollo suizo x 500g</t>
  </si>
  <si>
    <t>Tripa salchichon rica x 250g</t>
  </si>
  <si>
    <t>Tripa salchichon rica x 500g</t>
  </si>
  <si>
    <t>N/A Tripa salchichon rica x 600g</t>
  </si>
  <si>
    <t>N/A TripaSalchichonTradicional ZenuX450g</t>
  </si>
  <si>
    <t>N/A TripaSalchichonTradicionalX 225g</t>
  </si>
  <si>
    <t>N/A TripaSalchichonTradicional ZenuX750g</t>
  </si>
  <si>
    <t>N/A Tripa schon meteoritos queso</t>
  </si>
  <si>
    <t>N/A Tripolifosfato de sodio</t>
  </si>
  <si>
    <t>N/A Unit pack vaquera</t>
  </si>
  <si>
    <t>N/A Unit pack cervecero cunit</t>
  </si>
  <si>
    <t>N/A Unit pack cervero aleman</t>
  </si>
  <si>
    <t>Mezcla sabor Salchicha</t>
  </si>
  <si>
    <t>N/A Unit pack salchichon extra</t>
  </si>
  <si>
    <t>N/A Uvas pasas</t>
  </si>
  <si>
    <t>N/A Vegamina 27D</t>
  </si>
  <si>
    <t>N/A ViN/Agre 4%</t>
  </si>
  <si>
    <t>Vinagre 8 %</t>
  </si>
  <si>
    <t>Vino blanco</t>
  </si>
  <si>
    <t>L</t>
  </si>
  <si>
    <t>N/A Vino tinto</t>
  </si>
  <si>
    <t>Viruta</t>
  </si>
  <si>
    <t>Zanahoria en cubos</t>
  </si>
  <si>
    <t>Zanahoria en escamas</t>
  </si>
  <si>
    <t>N/A Almendras partidas</t>
  </si>
  <si>
    <t>N/A Condimento salchicha perro Rica</t>
  </si>
  <si>
    <t>N/A Condimento pat pavo</t>
  </si>
  <si>
    <t>Eritrosina supra 110 por ciento</t>
  </si>
  <si>
    <t>Fibra de trigo</t>
  </si>
  <si>
    <t>N/A Malla ahujif pack 12sqr</t>
  </si>
  <si>
    <t>N/A Oregano encapsulado</t>
  </si>
  <si>
    <t>Pimienta roja en escamas</t>
  </si>
  <si>
    <t>Plasma en polvo</t>
  </si>
  <si>
    <t>N/A Salsa black berry x 100g</t>
  </si>
  <si>
    <t>N/A Tripa colageno 30t brown</t>
  </si>
  <si>
    <t>N/A TripaFibCerveceroSuizo 500g grt 100g</t>
  </si>
  <si>
    <t>N/A Humo st 50</t>
  </si>
  <si>
    <t>Hilo polipropileno delgado</t>
  </si>
  <si>
    <t>N/A TripaCerveroni promocionX 1.2 kg</t>
  </si>
  <si>
    <t>N/A TripaSalchichonPolloX 500 grt 180 g</t>
  </si>
  <si>
    <t>N/A Tripa fib cervecero suizox500g+100g</t>
  </si>
  <si>
    <t>Salvia en escamas</t>
  </si>
  <si>
    <t>N/A Salsa ciruela Alimentos 100 g</t>
  </si>
  <si>
    <t>N/A Queso fresco amarillo parmesano</t>
  </si>
  <si>
    <t>N/A Saborsilaromcarnede bueygrill tocino</t>
  </si>
  <si>
    <t>Gancho clip TT 1509 - 5 x 1.75 PER</t>
  </si>
  <si>
    <t>N/A Gancho clip TT 1506 4X1.50</t>
  </si>
  <si>
    <t>N/A Tripa salchichon trifasico x 400 g</t>
  </si>
  <si>
    <t>N/A Tripa salchichon trifasico x 650 g</t>
  </si>
  <si>
    <t>Gancho clip TT 1507 - 4 x 1.25 PER</t>
  </si>
  <si>
    <t>System M25R</t>
  </si>
  <si>
    <t>N/A Tripa gold caramel Calibre 6.5</t>
  </si>
  <si>
    <t>N/A Tripa salchichon Ricax 500g grt 150g</t>
  </si>
  <si>
    <t>N/A Salsa especiales 100 g</t>
  </si>
  <si>
    <t>Salsa Ciruela Zenu 100 g</t>
  </si>
  <si>
    <t>N/A Tripa ultrakote cal 6</t>
  </si>
  <si>
    <t>N/ATripa fib.Cerv.EstandarZENU 500grt25g</t>
  </si>
  <si>
    <t>N/A TripaCervSelectoSuizo 500g grt 250g</t>
  </si>
  <si>
    <t xml:space="preserve"> Lazada BS 4 weiss</t>
  </si>
  <si>
    <t>Sabor jalapeño Hot</t>
  </si>
  <si>
    <t>Sabor barbacoa hot</t>
  </si>
  <si>
    <t>Pollo MDM con preparacion</t>
  </si>
  <si>
    <t>Tripa fibrosa 6 1/2 s3 cortes</t>
  </si>
  <si>
    <t>N/A Recorte de pavo</t>
  </si>
  <si>
    <t>Salsa Piña bocado ZENU 100 g.</t>
  </si>
  <si>
    <t>Gancho H530T</t>
  </si>
  <si>
    <t>N/A Tripa celulosa 20 x 125</t>
  </si>
  <si>
    <t>Tripa celulosa 16x125 Easy Peel</t>
  </si>
  <si>
    <t>Oleina de palma</t>
  </si>
  <si>
    <t>Acido citrico</t>
  </si>
  <si>
    <t>Monoglutamato de sodio</t>
  </si>
  <si>
    <t>Acido lactico</t>
  </si>
  <si>
    <t>Uvas pasas</t>
  </si>
  <si>
    <t>COLOR caramelo</t>
  </si>
  <si>
    <t>Harina de maíz precocida amarilla</t>
  </si>
  <si>
    <t>Tripa celulosa 20 x 125</t>
  </si>
  <si>
    <t>N/A TripaSalchichonTrifasicox520 grt130g</t>
  </si>
  <si>
    <t>N/A Tripa celulosa 20x84</t>
  </si>
  <si>
    <t>Corazon de cerdo</t>
  </si>
  <si>
    <t>Cerdo MDM</t>
  </si>
  <si>
    <t>Tripa celulosa 14 x 125</t>
  </si>
  <si>
    <t>Albumina de huevo</t>
  </si>
  <si>
    <t>Humo st 50</t>
  </si>
  <si>
    <t>Extracto proteico de cerdo</t>
  </si>
  <si>
    <t>N/A Tripa poliamida rollo casero</t>
  </si>
  <si>
    <t>Tripa Ranchera 24 x 125</t>
  </si>
  <si>
    <t>N/A Tripa salchichon trifasico x 150</t>
  </si>
  <si>
    <t>N/A Tripa celulosa long 23x110</t>
  </si>
  <si>
    <t>N/A Malla ahu jif pak 12 diamante s2</t>
  </si>
  <si>
    <t>Tripa celulosa Mini Ranchera 21x125</t>
  </si>
  <si>
    <t>Tripa celulosa 24 x 65</t>
  </si>
  <si>
    <t>N/A Tripa celulosa 23x100 pies</t>
  </si>
  <si>
    <t>N/A Aroma salchicha super perro Cunit</t>
  </si>
  <si>
    <t>Estabilizante goma guar</t>
  </si>
  <si>
    <t>Almendra natural entera</t>
  </si>
  <si>
    <t>Pollo MDM con restriccion</t>
  </si>
  <si>
    <t>Grasa vegetal TF38LS</t>
  </si>
  <si>
    <t>Sal dietetica</t>
  </si>
  <si>
    <t>N/A Lactato De Potasio mas Diacetato</t>
  </si>
  <si>
    <t>N/A Fibra colageno novapro (GLASSE)</t>
  </si>
  <si>
    <t>N/A Tripa fibrosa 1B</t>
  </si>
  <si>
    <t>N/A Seasoning pepperoni</t>
  </si>
  <si>
    <t>N/A Sabor a carne asada</t>
  </si>
  <si>
    <t>Aroma a carne asada</t>
  </si>
  <si>
    <t>N/A Tripa Celulosa 13 X 110</t>
  </si>
  <si>
    <t>Tripa Salchichon Zenu 6 x 125 g</t>
  </si>
  <si>
    <t>N/A Tripa Celulosa Americana 28 X 110</t>
  </si>
  <si>
    <t>Malla Ahumada 10 SPL S2 cortes de 1.30</t>
  </si>
  <si>
    <t>Mezcla Condimento Pavo CR</t>
  </si>
  <si>
    <t>Mezcla Condimento PRS 10</t>
  </si>
  <si>
    <t>N/A Mezcla Condimento PRR 25</t>
  </si>
  <si>
    <t>N/A Mezcla Condimento SEN 44</t>
  </si>
  <si>
    <t>Condimento liquido AS MIL</t>
  </si>
  <si>
    <t>Condimento liquido CNI 207</t>
  </si>
  <si>
    <t>Condimento liquido salchicha big pollo</t>
  </si>
  <si>
    <t>Mezcla condimento cerveroni Zenu</t>
  </si>
  <si>
    <t>N/A Mezcla condimento Americana</t>
  </si>
  <si>
    <t>N/A Habichuela picada</t>
  </si>
  <si>
    <t>N/A Condimento Mix Carnicos Zenu</t>
  </si>
  <si>
    <t>Condimento liquido salchicha big res</t>
  </si>
  <si>
    <t>Aroma Cervecero Cunit</t>
  </si>
  <si>
    <t>Mezcla Humo Especiales Enviro24masST50</t>
  </si>
  <si>
    <t>Condimento liquido salchicha ideal</t>
  </si>
  <si>
    <t>N/A Condimento liquido salchicha dorada</t>
  </si>
  <si>
    <t>Caseinato de sodio</t>
  </si>
  <si>
    <t>Tripa Celulosa 13 X 125</t>
  </si>
  <si>
    <t>Tripa celulosa 21 x 125</t>
  </si>
  <si>
    <t>Grasa Vegetal TF40</t>
  </si>
  <si>
    <t>Pijamas de pollo</t>
  </si>
  <si>
    <t>N/A Malla ela 12t</t>
  </si>
  <si>
    <t>Tripa Celulosa 22 x 125</t>
  </si>
  <si>
    <t>N/A Funcionales Salchichon Pollo ZENU</t>
  </si>
  <si>
    <t>Aroma Liquido Pollo Zenu</t>
  </si>
  <si>
    <t>N/A U.P.Cervecero SeleccionadoSuizo Rica</t>
  </si>
  <si>
    <t>Tripa celulosa 23x84</t>
  </si>
  <si>
    <t>Vino Blanco Polvo</t>
  </si>
  <si>
    <t>N/A Condimento liquido Salchicha Dorada</t>
  </si>
  <si>
    <t>Condimento liquido Embutido Pollo</t>
  </si>
  <si>
    <t>N/A Tripa celulosa americanita 23 x 110</t>
  </si>
  <si>
    <t>N/A Tripa Celulosa S/I 28 X 110</t>
  </si>
  <si>
    <t>N/A Condim. Liq. NT 9790 Hsa Rica Insti.</t>
  </si>
  <si>
    <t>Mezcla ahumado especial liquido</t>
  </si>
  <si>
    <t>Aroma Liquido Salchichon TradicionalZenu</t>
  </si>
  <si>
    <t>N/A Tripa celulosa americanita 23 x 125</t>
  </si>
  <si>
    <t>Tripa fibrosa 1 1/2</t>
  </si>
  <si>
    <t>N/A Tripa celulosa 26 x 125</t>
  </si>
  <si>
    <t>N/A Tripa celulosa  26 x 100</t>
  </si>
  <si>
    <t>Tripa celulosa 28 x 55</t>
  </si>
  <si>
    <t>Plasma en Polvo Importado</t>
  </si>
  <si>
    <t>N/A Tripa fibrosa cervecero Cunit 500 g</t>
  </si>
  <si>
    <t>N/A Laminilla de polietileno 13 x 11</t>
  </si>
  <si>
    <t>N/A Piel de pollo sin preparacion</t>
  </si>
  <si>
    <t>Pollo MDM sin preparacion</t>
  </si>
  <si>
    <t>Sabor carne de res</t>
  </si>
  <si>
    <t>Aroma salchichon Rica</t>
  </si>
  <si>
    <t>Sabor Pavo Bacon</t>
  </si>
  <si>
    <t>Aceite vegetal alegria 20</t>
  </si>
  <si>
    <t>N/A Proteína ARCON SM</t>
  </si>
  <si>
    <t>Pechuga de pollo para jamon</t>
  </si>
  <si>
    <t>Pirofosfato acido de sodio</t>
  </si>
  <si>
    <t>Extracto de Apio</t>
  </si>
  <si>
    <t>Tocino barriguero con costilla</t>
  </si>
  <si>
    <t>N/A Recorte de cerdo 90/10 emulsificados</t>
  </si>
  <si>
    <t>N/ATripaschon.CerveceroRICA100ggrt.25g</t>
  </si>
  <si>
    <t>N/A Tripa fib.Cerveroni x1.2kg grt.200g</t>
  </si>
  <si>
    <t>N/A Tripa celulosa 28x110</t>
  </si>
  <si>
    <t>Tripa Cervecero CUNIT 1100 g</t>
  </si>
  <si>
    <t>Aislado soya pastas</t>
  </si>
  <si>
    <t>Proteina centex 4061</t>
  </si>
  <si>
    <t>Proteina Concentrada de Soya</t>
  </si>
  <si>
    <t>Tripolifosfato de sodio</t>
  </si>
  <si>
    <t>Maltodextrina 28-30</t>
  </si>
  <si>
    <t>Tripa colageno Smoker cal. 28 x 50</t>
  </si>
  <si>
    <t>Gancho Poly clip M09</t>
  </si>
  <si>
    <t>Gancho Poly clip M06</t>
  </si>
  <si>
    <t>Recorte de Pechuga de Pollo</t>
  </si>
  <si>
    <t>Almidon de yuca</t>
  </si>
  <si>
    <t>Queso mozarella tajado</t>
  </si>
  <si>
    <t>N/A Aroma carnico practicarne</t>
  </si>
  <si>
    <t>Proteína de Trigo Trutex</t>
  </si>
  <si>
    <t>Sabor tocineta</t>
  </si>
  <si>
    <t>Pechuga de pavo</t>
  </si>
  <si>
    <t>Gancho S848</t>
  </si>
  <si>
    <t>Pavo Rica crudo</t>
  </si>
  <si>
    <t>Methocel</t>
  </si>
  <si>
    <t>Condimento Mix Carnicos Zenu JCON</t>
  </si>
  <si>
    <t>Paleta 72-28 emulsificado</t>
  </si>
  <si>
    <t>Paleta 80-20 emulsificado</t>
  </si>
  <si>
    <t>Paleta magro jamon</t>
  </si>
  <si>
    <t>N/A Paleta Paleta CerdoCushion Importada</t>
  </si>
  <si>
    <t>Paleta Paleta de Cerdo Cushion</t>
  </si>
  <si>
    <t>Pierna 72-28 emulsificado</t>
  </si>
  <si>
    <t>Pierna 80-20 emulsificado</t>
  </si>
  <si>
    <t>Pierna 90-10 emulsificado</t>
  </si>
  <si>
    <t>Pierna magro jamon</t>
  </si>
  <si>
    <t>Pierna Paleta Cerdo Cushion Importada</t>
  </si>
  <si>
    <t>Pierna Paleta de Cerdo cushion</t>
  </si>
  <si>
    <t>Paleta 90-10 emulsificado</t>
  </si>
  <si>
    <t>N/A Tripa celulosa 23x180</t>
  </si>
  <si>
    <t>Tripa celulosa 27 x 160</t>
  </si>
  <si>
    <t>Pechuga de pollo</t>
  </si>
  <si>
    <t>N/A Tripa Fib. Cerv. Premium 650 g</t>
  </si>
  <si>
    <t>N/A Tripa celulosa 16x160</t>
  </si>
  <si>
    <t>Cloruro de Potasio</t>
  </si>
  <si>
    <t>Tripa celulosa 26x125</t>
  </si>
  <si>
    <t>Sabor Natural Costilla</t>
  </si>
  <si>
    <t>Tripa celulosa Ranchera 22x125</t>
  </si>
  <si>
    <t>Mezcla ahumado especial liquido Bog</t>
  </si>
  <si>
    <t>Mezcla saborizar paprika soluble Bog</t>
  </si>
  <si>
    <t>Condimento Liquido Salchicha Manguera</t>
  </si>
  <si>
    <t>Pechuga de pollo campesina</t>
  </si>
  <si>
    <t>Pirofosfato tetrasodico</t>
  </si>
  <si>
    <t>Aroma natural Chicken roast</t>
  </si>
  <si>
    <t>Tripa Celulosa 16x125</t>
  </si>
  <si>
    <t>TRIPA FVPCLS AM Raff55/40m Cerve1200g</t>
  </si>
  <si>
    <t>FOV CLS B5 4 H5 calibre 55 mm</t>
  </si>
  <si>
    <t>TRIPA FVPCLS AM Raff55/40m Cerve900g</t>
  </si>
  <si>
    <t>Tripa FOVCLS R5 4 H5 rica x500g cal 55mm</t>
  </si>
  <si>
    <t>Vinagre en Polvo</t>
  </si>
  <si>
    <t>Sabor Cebolla Asada</t>
  </si>
  <si>
    <t>N/A Proteina Colageno PF</t>
  </si>
  <si>
    <t>Tripa Fibrosa P Sin Color Cal. 58</t>
  </si>
  <si>
    <t>Mezcla Aroma Carnico Practicarne</t>
  </si>
  <si>
    <t>Recorte Tocineta 80/20 Emulsificado</t>
  </si>
  <si>
    <t>Recorte Lomo 72/28 Mezclado</t>
  </si>
  <si>
    <t>Mezcla Sabor Salchicha Vaquera Líquida</t>
  </si>
  <si>
    <t>TRIPA salchichon de pollo x 250g Zenu</t>
  </si>
  <si>
    <t>TRIPA salchichon de pollo x 500g Zenu</t>
  </si>
  <si>
    <t>TRIPA Salchichon pollo 750g Zenu</t>
  </si>
  <si>
    <t>TRIPA salchichon tradicional Zenu x 450g</t>
  </si>
  <si>
    <t>TRIPA salchichon tradicional x 225g</t>
  </si>
  <si>
    <t>TRIPA salchichon tradicional Zenu x750g</t>
  </si>
  <si>
    <t>TRIPA salchichon tradicional Zenu x100g</t>
  </si>
  <si>
    <t>Trozos Lomo Cerdo Paleta Cushion Importa</t>
  </si>
  <si>
    <t>Tripa salchichon trad. Zenu 450 grt 150g</t>
  </si>
  <si>
    <t>Tripa Cervecero Rica 200g</t>
  </si>
  <si>
    <t>N/A Tripa Cervecero Cunit 200g</t>
  </si>
  <si>
    <t>Potencializador Sabor Carnico</t>
  </si>
  <si>
    <t>Queso Fresco Amarillo Saborizado</t>
  </si>
  <si>
    <t>Mezcla para Saborizar Chipotle Sweet</t>
  </si>
  <si>
    <t>Tripa celulosa 24 x 160</t>
  </si>
  <si>
    <t>Tripa Cervecero Cunit x 700 g</t>
  </si>
  <si>
    <t>Tripa Cervecero Rica x 700 g</t>
  </si>
  <si>
    <t>Tripa FVPCLS AM Cervec. Ranchera 640g</t>
  </si>
  <si>
    <t>Tripa FVPCLS AM Cerveroni 900+150g</t>
  </si>
  <si>
    <t>Salsa Napolitana Albondiga</t>
  </si>
  <si>
    <t>Proteina Colapro Bovine BC</t>
  </si>
  <si>
    <t>Tripa celulosa 23 x 125 VK</t>
  </si>
  <si>
    <t>Aroma Especias</t>
  </si>
  <si>
    <t>Tripa FVPCLS AM Cerve1200g 150</t>
  </si>
  <si>
    <t>Sazonador Chimichurri</t>
  </si>
  <si>
    <t>HydroTOP FirmTec LA</t>
  </si>
  <si>
    <t>Sazonador con Sabor a Miel Maple</t>
  </si>
  <si>
    <t>Fosfato Carnal 961</t>
  </si>
  <si>
    <t>Sabor salami italiano</t>
  </si>
  <si>
    <t>Queso Sabana</t>
  </si>
  <si>
    <t>Proteina Supro Max 5010</t>
  </si>
  <si>
    <t>Proteina Supro EX45</t>
  </si>
  <si>
    <t>Texturizado de Trigo Desmechado</t>
  </si>
  <si>
    <t>N/A Albumina de Huevo</t>
  </si>
  <si>
    <t>N/A Meatbinder</t>
  </si>
  <si>
    <t>Aroma Estofado Vegano</t>
  </si>
  <si>
    <t>Aroma Cocido Vegano</t>
  </si>
  <si>
    <t>Aroma Umami</t>
  </si>
  <si>
    <t>Aroma Cebolla Frita</t>
  </si>
  <si>
    <t>Aroma Hamburguesa</t>
  </si>
  <si>
    <t>Sazonador Chorizo Chimichurri</t>
  </si>
  <si>
    <t>Almidon Modificado Snow Flake</t>
  </si>
  <si>
    <t>TRIPA Schon. Tradicional ZENU x 620 g</t>
  </si>
  <si>
    <t>TRIPA Schon. Tradicional ZENU x 850 g</t>
  </si>
  <si>
    <t>TRIPA Schon. Rica x 480 g</t>
  </si>
  <si>
    <t>TRIPA Schon. Rica x 850 g</t>
  </si>
  <si>
    <t>TRIPA Schon. Extra Cunit x 850 g</t>
  </si>
  <si>
    <t>Tripa FVPCLS AM Raff 55/40m Cervec 500 g</t>
  </si>
  <si>
    <t>Tripa FVPCLS AM Raff 55/40m Cervec1000 g</t>
  </si>
  <si>
    <t>Tripa Salchichon Cervec Rica x 950 g</t>
  </si>
  <si>
    <t>Proteína Nuggets Popper</t>
  </si>
  <si>
    <t>Tripa Celulosa Calibre 26 x 70 Pies</t>
  </si>
  <si>
    <t>Recorte de Diafragma 72/28 Emulsificados</t>
  </si>
  <si>
    <t>Proteina Colagénica Vepro-Gel 115 BCF</t>
  </si>
  <si>
    <t>Acidulante GDL</t>
  </si>
  <si>
    <t>Tocino de Cerdo Tocino Corriente</t>
  </si>
  <si>
    <t>Tripa FVPCLS AM Cerveroni 1000+200g</t>
  </si>
  <si>
    <t>Tripa Salchichon Cervec Rica x 450 g</t>
  </si>
  <si>
    <t>Texturizado de Trigo Desmechado blanco</t>
  </si>
  <si>
    <t>Tripa Celulosa 19 x 125</t>
  </si>
  <si>
    <t>Tripa Poliamida 19 x 110 XL</t>
  </si>
  <si>
    <t>Tripa Celulosa 23 x 160</t>
  </si>
  <si>
    <t>Tripa FVPCLS 55/40m Cervec 500 g Gts100</t>
  </si>
  <si>
    <t>TRUPRO 2000 (Proteina)</t>
  </si>
  <si>
    <t>Solucion Color Naranja</t>
  </si>
  <si>
    <t>Solucion Color Rojo</t>
  </si>
  <si>
    <t>Pimienta Dulce Molida</t>
  </si>
  <si>
    <t>Tripa celulosa ranchera 18x125</t>
  </si>
  <si>
    <t>Texturizado de Trigo Desmech Practicarne</t>
  </si>
  <si>
    <t>Nuez Moscada Liquida</t>
  </si>
  <si>
    <t>Proteina Soya Arcon SM Brasil</t>
  </si>
  <si>
    <t>Tripa Celulosa Ranchera NJX 20Bx125</t>
  </si>
  <si>
    <t>Sabor Pollo SP 80729B</t>
  </si>
  <si>
    <t>KCL MASKING</t>
  </si>
  <si>
    <t>FLAVORFIT SOY MASKER</t>
  </si>
  <si>
    <t>Vinagre al 64 con sal marina</t>
  </si>
  <si>
    <t>Condimento MIX CARNICO NF</t>
  </si>
  <si>
    <t>Goma Guar 8 22 D</t>
  </si>
  <si>
    <t>Gancho Poly clip M07</t>
  </si>
  <si>
    <t>Proteina Trupro Tex 4000</t>
  </si>
  <si>
    <t>Aroma Grillado.</t>
  </si>
  <si>
    <t>Aroma Estofado</t>
  </si>
  <si>
    <t>Aroma Vegetales.</t>
  </si>
  <si>
    <t>Aroma Especiado.</t>
  </si>
  <si>
    <t>Harina de lenteja Natural</t>
  </si>
  <si>
    <t>Color Beet Red 31</t>
  </si>
  <si>
    <t>Harina de garbanzo Natural</t>
  </si>
  <si>
    <t>Tripa Cervecero Cunit x 1000 g NUEVO</t>
  </si>
  <si>
    <t>Tripa Cervecero Cunit x 700 g NUEVO</t>
  </si>
  <si>
    <t>Tripa Cervecero Cunit x 450 g NUEVO</t>
  </si>
  <si>
    <t>Tripa Schon. Extra Cunit x 480g</t>
  </si>
  <si>
    <t>Carne Oscura Molida Pollo</t>
  </si>
  <si>
    <t>Sabor Salobre</t>
  </si>
  <si>
    <t>Tripa salchichon ahumado Cunit x 200g</t>
  </si>
  <si>
    <t>Mezcla para Saborizar Salchicha Gaucha</t>
  </si>
  <si>
    <t>Mezcla para saborizar pimienta-chipotle</t>
  </si>
  <si>
    <t>Tripa Cervecero Pimienta Chipotle 400 g</t>
  </si>
  <si>
    <t>Tripa Schon. Pollo Zenu Collarin x 100g</t>
  </si>
  <si>
    <t>Promul 20XP</t>
  </si>
  <si>
    <t>Gancho Poly clip M11</t>
  </si>
  <si>
    <t>Aceite de Canola EM</t>
  </si>
  <si>
    <t>Aroma Especias Plus</t>
  </si>
  <si>
    <t>Mezcla Saborizar Jamon natural</t>
  </si>
  <si>
    <t>Mezcla Saborizar Pavo asado</t>
  </si>
  <si>
    <t>Bloqueador de Amargo</t>
  </si>
  <si>
    <t>Fosfato Abastol 452</t>
  </si>
  <si>
    <t>TRIPA FVPCLS AM Raff55/40m Cerve1200g LE</t>
  </si>
  <si>
    <t>TRIPA FVPCLS AM Raff55/40m Cerve900g LE</t>
  </si>
  <si>
    <t>Tripa FVPCLS AM Cerveroni 900 150g LE</t>
  </si>
  <si>
    <t>Tripa FVPCLS AM Cerve1200g 150 LE</t>
  </si>
  <si>
    <t>Tripa FVPCLS AM Raff55/40mCervec 500g LE</t>
  </si>
  <si>
    <t>Tripa FVPCLS AM Raff55/40mCervec1000g LE</t>
  </si>
  <si>
    <t>Tripa FVPCLS AM Cerveroni 1000 200g LE</t>
  </si>
  <si>
    <t>Tripa fibrosacerveceropremiun Zenu500 LE</t>
  </si>
  <si>
    <t>Tripa salchichon ahumado x250g LE</t>
  </si>
  <si>
    <t>Tripa salchichon extra x 500g LE</t>
  </si>
  <si>
    <t>FOV CLS B5 4 H5 calibre 55 mm LE</t>
  </si>
  <si>
    <t>Tripa salchichon pollo rica x 250g LE</t>
  </si>
  <si>
    <t>Tripa salchichon pollo rica x 500g LE</t>
  </si>
  <si>
    <t>Tripa salchichon pollo rica x 750g LE</t>
  </si>
  <si>
    <t>Tripa salchichon pollo rica x100g LE</t>
  </si>
  <si>
    <t>Tripa salchichon rica x 250g LE</t>
  </si>
  <si>
    <t>Tripa Salchichon Zenu 6 x 125 g LE</t>
  </si>
  <si>
    <t>TRIPA salchichon de pollo x 250g Zenu LE</t>
  </si>
  <si>
    <t>TRIPA salchichon de pollo x 500g Zenu LE</t>
  </si>
  <si>
    <t>TRIPA Salchichon pollo 750g Zenu LE</t>
  </si>
  <si>
    <t>TRIPA salchichon radicional Zenux450g LE</t>
  </si>
  <si>
    <t>TRIPA salchichon tradicional x 225g LE</t>
  </si>
  <si>
    <t>TRIPA salchichontradicional Zenux100g LE</t>
  </si>
  <si>
    <t>Tripa salchichon tradZenu 450grt 150g LE</t>
  </si>
  <si>
    <t>Tripa Cervecero Cunit x 700 g LE</t>
  </si>
  <si>
    <t>Tripa Cervecero Rica x 700 g LE</t>
  </si>
  <si>
    <t>TRIPA Schon. Tradicional ZENU x 620 g LE</t>
  </si>
  <si>
    <t>TRIPA Schon. Tradicional ZENU x 850 g LE</t>
  </si>
  <si>
    <t>TRIPA Schon. Rica x 480 g LE</t>
  </si>
  <si>
    <t>TRIPA Schon. Rica x 850 g LE</t>
  </si>
  <si>
    <t>TRIPA Schon. Extra Cunit x 850 g LE</t>
  </si>
  <si>
    <t>Tripa Salchichon Cervec Rica x 950 g LE</t>
  </si>
  <si>
    <t>Tripa Salchichon Cervec Rica x 450 g LE</t>
  </si>
  <si>
    <t>Tripa Cervecero Cunit x 1000 g NUEVO LE</t>
  </si>
  <si>
    <t>Tripa Cervecero Cunit x 450 g NUEVO  LE</t>
  </si>
  <si>
    <t>Tripa Cervecero Pimienta Chipotle400g LE</t>
  </si>
  <si>
    <t>BOL Poliet 8x12</t>
  </si>
  <si>
    <t>N/A Bol barrera x 5 x 12</t>
  </si>
  <si>
    <t>N/A BOL Barrera x8x13</t>
  </si>
  <si>
    <t>BOL Barrera x8x11</t>
  </si>
  <si>
    <t>BOL Canastilla x1.5</t>
  </si>
  <si>
    <t>N/A BOL Corderito Suizo x750g x6.5x11</t>
  </si>
  <si>
    <t>N/A Bol hamburguesa americaN/A x550g</t>
  </si>
  <si>
    <t>N/A BOL Pavo Bremen Suizo X1.125kgx8x12</t>
  </si>
  <si>
    <t>N/ABOLJamonChaletBSuizox750gx5.5x11</t>
  </si>
  <si>
    <t>N/ABoljamonchaletsuizob500gx5.5x9</t>
  </si>
  <si>
    <t>N/A Bol jamon pollo x 750 g x 6.5 x 11</t>
  </si>
  <si>
    <t>N/A Bol pavo casero ricax2500gx10x 16</t>
  </si>
  <si>
    <t>Bolsa Polietileno 8X12in</t>
  </si>
  <si>
    <t>N/A Bol pechuga pavo x 750 g x 6.5 x 11</t>
  </si>
  <si>
    <t>N/A Bol pollo relleno ZENU P.V 10x14</t>
  </si>
  <si>
    <t>N/A BOL Pollo Relleno Rica x1.8kg x10x15</t>
  </si>
  <si>
    <t>N/A Bol pollo rica 8.5 x 13</t>
  </si>
  <si>
    <t>N/A BOL Sin Barrera x30x24</t>
  </si>
  <si>
    <t>N/A Bol sin imp x 10 x 13</t>
  </si>
  <si>
    <t>N/A BOL S/I x10x18</t>
  </si>
  <si>
    <t>BOL S/I x12x19 Britene 60</t>
  </si>
  <si>
    <t>Bolsa Polietileno S/I_14X20in</t>
  </si>
  <si>
    <t>Bolsa polietileno 16x24</t>
  </si>
  <si>
    <t>N/A BOL S/I x20.5x31</t>
  </si>
  <si>
    <t>BOL S/I x24x 25</t>
  </si>
  <si>
    <t>N/A BOL S/I x25x34</t>
  </si>
  <si>
    <t>N/A BOL S/I x260x390</t>
  </si>
  <si>
    <t>N/A Bol tocineta bacon suizo b x 120 g</t>
  </si>
  <si>
    <t>N/A Cinta adhesiva suizo 48 x 1000</t>
  </si>
  <si>
    <t>Cinta adhesiva zenu</t>
  </si>
  <si>
    <t>Cinta transparente 48 x 1000</t>
  </si>
  <si>
    <t>Porta hamburguesas rica</t>
  </si>
  <si>
    <t>N/A Cja hamburguesa cuadrada x 3.3 kg</t>
  </si>
  <si>
    <t>Cja hamburguesa ranchera x 400 g</t>
  </si>
  <si>
    <t>Caj hamburguesa rica cda x 280 x 17 x105</t>
  </si>
  <si>
    <t>N/ACjahamburguesasuizox3kgcda385x130x105</t>
  </si>
  <si>
    <t>N/A Cja.hamburg zenux500g plex185x90x50</t>
  </si>
  <si>
    <t>N/A Cja.hamburg zenux2.5kgplex265x265x76</t>
  </si>
  <si>
    <t>N/A CJA Hamburguesa x6kg</t>
  </si>
  <si>
    <t>N/A Etq cervecero orig rica 230g</t>
  </si>
  <si>
    <t>N/A Etq cervecero tajado tiendas x 50 g</t>
  </si>
  <si>
    <t>N/A ETIQ Hamburguesa Ranchera x130g</t>
  </si>
  <si>
    <t>N/A Etq jamon bremen suizo x 1.125 kg</t>
  </si>
  <si>
    <t>N/A Etq Jamon Chalet Suizo Taj x 750 g</t>
  </si>
  <si>
    <t>N/A Etq jamon cordero suizo x750g</t>
  </si>
  <si>
    <t>N/A Etq jamoncelebracioncunit23x10cm</t>
  </si>
  <si>
    <t>N/A ETIQ Jamon Poll Cunit x750g</t>
  </si>
  <si>
    <t>N/A Etq kappon suizo pv</t>
  </si>
  <si>
    <t>N/A Etq lomo cunit pv</t>
  </si>
  <si>
    <t>N/A Etq lomo suizo x 1 kg</t>
  </si>
  <si>
    <t>N/A Etq pavo bremen suizo x 750g</t>
  </si>
  <si>
    <t>N/A Etq pavo bremen suizo x1.125kg</t>
  </si>
  <si>
    <t>N/A Etq pavo cunit pv</t>
  </si>
  <si>
    <t>N/A Etq pavo cunit x 1.125kg</t>
  </si>
  <si>
    <t>N/AETIQPavoLomoMediterranSuizox750g</t>
  </si>
  <si>
    <t>N/A ETIQ Pavo Relleno Rica Pv</t>
  </si>
  <si>
    <t>N/A ETIQ Pech Pavo Suizo Taj 750g</t>
  </si>
  <si>
    <t>N/A Etq pernil de cerdo bloque suizo</t>
  </si>
  <si>
    <t>N/A Etq pernil desh suizo x 750 g</t>
  </si>
  <si>
    <t>N/A Etq pollo bremen suizo x1.125 kg</t>
  </si>
  <si>
    <t>N/A ETIQ Pollo Cunit x1.125g</t>
  </si>
  <si>
    <t>N/A Etq pollo cunit x 1.125 kg</t>
  </si>
  <si>
    <t>N/A Etq rollo pavo suizo x 1.5 kg</t>
  </si>
  <si>
    <t>N/A Etq Scha AmericaN/A C 615 g 500g 3un</t>
  </si>
  <si>
    <t>N/A  Etq salchicha dorada rica x 225 g</t>
  </si>
  <si>
    <t>N/A Etq salchicha dorada x 580 g</t>
  </si>
  <si>
    <t>N/A Etq salchicha Rica x 500g</t>
  </si>
  <si>
    <t>N/A ETIQ Salchicha Suizo x500g</t>
  </si>
  <si>
    <t>N/AEtqsalchichatradzenu450g+3schas</t>
  </si>
  <si>
    <t>N/A Etq scha america corta 29 unx1.5k</t>
  </si>
  <si>
    <t>N/A ETIQ Scha Americana Corta 6x230g</t>
  </si>
  <si>
    <t>N/A ETIQ. Salch.Americana larga 2un 167g</t>
  </si>
  <si>
    <t>N/A Etq scha llanera x 250 g</t>
  </si>
  <si>
    <t>N/A Etq scha long zenu x 550 g</t>
  </si>
  <si>
    <t>Etq scha long zenu x2.2 Kg</t>
  </si>
  <si>
    <t>N/A Etq scha maxilunch suizox 500g</t>
  </si>
  <si>
    <t>N/A Etq scha pop zenu x1 kg</t>
  </si>
  <si>
    <t>N/A ETIQ Scha Prro Suizo x500g</t>
  </si>
  <si>
    <t>N/A Etq scha super perro zenu x 225g</t>
  </si>
  <si>
    <t>N/A Etq scha super perro zenu x 450g</t>
  </si>
  <si>
    <t>Etq super salchicha cunit x 500 g</t>
  </si>
  <si>
    <t>N/A Pel generica ranchera x 407 x 25</t>
  </si>
  <si>
    <t>PEL Inferior Cryovac 522x35</t>
  </si>
  <si>
    <t>Pel inferior cryovac x 432 x 35</t>
  </si>
  <si>
    <t>N/A PEL Inferior Cryovac x432x40</t>
  </si>
  <si>
    <t>Pel inferior cryovac x 432 x 50</t>
  </si>
  <si>
    <t>Pel inferior cryovac x 434 x 30</t>
  </si>
  <si>
    <t>N/A Pel inferior minipak x 432 x 35</t>
  </si>
  <si>
    <t>Pel inferior sudpack x 432 X 35</t>
  </si>
  <si>
    <t>Pel inferior sudpack x 432 x 30</t>
  </si>
  <si>
    <t>PEL Inferior Sudpack Gvp x432x50</t>
  </si>
  <si>
    <t>PELI. Inferior Sudpack x522x50</t>
  </si>
  <si>
    <t xml:space="preserve"> PELI. Inf. winpak x 432 x 60</t>
  </si>
  <si>
    <t>Pel logotipo zenu 407x25</t>
  </si>
  <si>
    <t>Pel.Salch.manguera cunit x 1Kg</t>
  </si>
  <si>
    <t>N/APel maxi schapollo suizo x500gx407x25</t>
  </si>
  <si>
    <t>N/A Pel salchicha americana 70gx407 x 25</t>
  </si>
  <si>
    <t>N/A PEL.Scha.Pll.Zenu 250 g x 407 x 25</t>
  </si>
  <si>
    <t>Pel salch. ahumada cunit  x 250 g</t>
  </si>
  <si>
    <t>N/A Pel salchicha suizox230gx407x25</t>
  </si>
  <si>
    <t>N/A Pel salchicha suizo x 50g 407 x 25</t>
  </si>
  <si>
    <t>N/A Pel salchicha tpack suizo x 407 x 25</t>
  </si>
  <si>
    <t>N/A PEL Salchicha Trad Zenu 225g x407x25</t>
  </si>
  <si>
    <t>N/A Pel salchicha trad zenu 450gx407x25</t>
  </si>
  <si>
    <t>Pel scha 6x3 rchera 62.5g Bog 407x25</t>
  </si>
  <si>
    <t>N/A Pel scha americana 13unx500g x407x25</t>
  </si>
  <si>
    <t>N/A Pel scha americana 6 un x500g 407x25</t>
  </si>
  <si>
    <t>N/A Pel scha americana x1.25 kg x407x 25</t>
  </si>
  <si>
    <t>N/APelschacortnavamericana500gx407x25</t>
  </si>
  <si>
    <t>N/A Pel scha cperrero dpack rica 407x25</t>
  </si>
  <si>
    <t>N/APelschalargnavamericana500gx407x25</t>
  </si>
  <si>
    <t>N/APel scha llanera 31.3gsuizo x 407x 25</t>
  </si>
  <si>
    <t>N/A Pel. Salch Llanerax500g Bog 407x25</t>
  </si>
  <si>
    <t>N/A Pel scha maxilunch suizo1.5kgx407x25</t>
  </si>
  <si>
    <t>N/APel scha maxires suizo x 500g x407x25</t>
  </si>
  <si>
    <t>N/A PEL.Salch.Mini Ranchera 300g x407x25</t>
  </si>
  <si>
    <t>N/APelschanavidadbpackamericanax407x25</t>
  </si>
  <si>
    <t>N/A Pel scha perrero suizo100g x 407 x25</t>
  </si>
  <si>
    <t>N/A PEL. Salch. Ranchera x1 kg 407x25</t>
  </si>
  <si>
    <t>N/APelschatpackrickyx50gx407x25</t>
  </si>
  <si>
    <t>N/A Pel scha trad ppack zenux50gx407x 25</t>
  </si>
  <si>
    <t>Pel schon cvro taj zenu x 50g x 407 x 25</t>
  </si>
  <si>
    <t>Pel Strech 45x15x450</t>
  </si>
  <si>
    <t>N/A PEL Termoencogible D 955 12 Pulg</t>
  </si>
  <si>
    <t>Pel superior cryovac x 407 x 25</t>
  </si>
  <si>
    <t>PEL Sup Sudpack x407x25</t>
  </si>
  <si>
    <t>Pel superior winpak x 407 x 25</t>
  </si>
  <si>
    <t>N/A Soporte tocineta bacon x 120 g</t>
  </si>
  <si>
    <t>STCK Adhesivo Vinilo 4x4</t>
  </si>
  <si>
    <t>N/A Sticker Ovalado 6 x 4</t>
  </si>
  <si>
    <t>N/A Sticker hamburguesa ranchera</t>
  </si>
  <si>
    <t>N/A Sticker llevala por $1000</t>
  </si>
  <si>
    <t>N/AStickeroferta3salchichastradgratis</t>
  </si>
  <si>
    <t>N/A Sticker promocion</t>
  </si>
  <si>
    <t>N/A Sticker salchicha gratis 3 unidades</t>
  </si>
  <si>
    <t>BOL. Poliet. 100 x 74</t>
  </si>
  <si>
    <t>N/A Bol tocineta bacon x150g</t>
  </si>
  <si>
    <t>Bolsa Polietileno S/I_6X9in</t>
  </si>
  <si>
    <t>N/A CJA Hamburguesa Ricachef x6kg</t>
  </si>
  <si>
    <t>N/A Cja lomo de pavo rica x500 g</t>
  </si>
  <si>
    <t>N/A Cja pli hamb zenu x 250g</t>
  </si>
  <si>
    <t>N/A Cja schon meteorito de queso</t>
  </si>
  <si>
    <t>ETIQ. Blanca papel 5 x 10</t>
  </si>
  <si>
    <t>N/A Etq bocado zenu x 500 g</t>
  </si>
  <si>
    <t>N/A ETIQ Navidad P.v. 40x50</t>
  </si>
  <si>
    <t>N/A Etq pechuga de pavo x1 kg</t>
  </si>
  <si>
    <t>N/A Etq rollo de pavo</t>
  </si>
  <si>
    <t>N/A Etq scha llanera x 600g</t>
  </si>
  <si>
    <t>N/A ETIQ S/I Blanca Especial</t>
  </si>
  <si>
    <t>N/A Etq termica blanca 40x48 2 col</t>
  </si>
  <si>
    <t>N/A Etq termica blanca 45x40 roja</t>
  </si>
  <si>
    <t>N/A Etq termica blanca 5x10</t>
  </si>
  <si>
    <t>N/A Etq terminales condimentos</t>
  </si>
  <si>
    <t>PEL Inferior Cryovac x522x50</t>
  </si>
  <si>
    <t>PELI. Superior sudpack x 503 x 25</t>
  </si>
  <si>
    <t>Polietileno 24 pulg</t>
  </si>
  <si>
    <t>Silicona jet melt 3762</t>
  </si>
  <si>
    <t>N/A Soporte tocineta bacon</t>
  </si>
  <si>
    <t>N/A Sticker hamburguesas</t>
  </si>
  <si>
    <t>N/A Sticker scha ricky</t>
  </si>
  <si>
    <t>N/A BOL S/I 8x18</t>
  </si>
  <si>
    <t>N/A CJA Lomos Pavo Rica x500g</t>
  </si>
  <si>
    <t>N/A Etq Rollo de Carnes Gourmet P.V</t>
  </si>
  <si>
    <t>Silicona hot melt</t>
  </si>
  <si>
    <t>PEL Inferior Sudpack x522x40</t>
  </si>
  <si>
    <t>N/AStickerschonpolloricaextracontenido</t>
  </si>
  <si>
    <t>N/A Etq. Llanera 600 g prom.</t>
  </si>
  <si>
    <t>N/A Sticker obsequio suizo x100g x 72 x</t>
  </si>
  <si>
    <t>N/A Sticker codigo de barras Rica</t>
  </si>
  <si>
    <t>N/A ETIQ S/I 5x4</t>
  </si>
  <si>
    <t>N/A Sticker obsequio suizo 150gx72 x40</t>
  </si>
  <si>
    <t>PEL Hamburguesa Ranchera Tiendas</t>
  </si>
  <si>
    <t>N/A Pel scha perrero x 450 mm</t>
  </si>
  <si>
    <t>N/A Etq pollo relleno rica p.v</t>
  </si>
  <si>
    <t>Etq adhesiva rectangular 10 x 15</t>
  </si>
  <si>
    <t>N/A Etq maxi salchicha suizo x 500 g</t>
  </si>
  <si>
    <t>N/A Etq maxi salchicha pollo suizox500g</t>
  </si>
  <si>
    <t>N/A Porta hamburguesas ZENU</t>
  </si>
  <si>
    <t>N/A Porta hamburguesas suizo</t>
  </si>
  <si>
    <t>N/A Etq scha carroperrero duopack rica x</t>
  </si>
  <si>
    <t>N/A Sticker linea infantil rica</t>
  </si>
  <si>
    <t>PEL Inferior Cryovac x432x80</t>
  </si>
  <si>
    <t>N/A Sticker promocion AmericanaCinecolom</t>
  </si>
  <si>
    <t>N/A Sticker promocionhamburguesaranchera</t>
  </si>
  <si>
    <t>N/A Pel salchicha SUIZO x 500 Gx407x25</t>
  </si>
  <si>
    <t>N/A Etq scha llanera x 500g</t>
  </si>
  <si>
    <t>N/A Sticker hamburguesa ranchera tiendas</t>
  </si>
  <si>
    <t>N/A CJA Corrugada Embalaje</t>
  </si>
  <si>
    <t>N/A Sticker hamburguesa americaN/A</t>
  </si>
  <si>
    <t>N/A Etq. scha. SUIZO 230 g.</t>
  </si>
  <si>
    <t>N/A BOL AguiN/Aldo Cunit 900g</t>
  </si>
  <si>
    <t>Pel. Imp. Salchicha Big Pollo x 1000g</t>
  </si>
  <si>
    <t>N/A Etq. scha. LLANERA 500 g + 100g</t>
  </si>
  <si>
    <t>N/A Etq. scha. s. perro ZENU x 450 g grt</t>
  </si>
  <si>
    <t>N/A Bolsa generica sant angelo 7,5 x 12</t>
  </si>
  <si>
    <t>N/A Bol. pernil deshuesado 1500 g 8x15</t>
  </si>
  <si>
    <t>N/A ETIQ Jamon Pollo Suizo Taj x750g</t>
  </si>
  <si>
    <t>N/A ETIQ Salchicha Suizo 500g Grt. 6und</t>
  </si>
  <si>
    <t>N/A Bol. Promocion apanados 38 x 25</t>
  </si>
  <si>
    <t>N/A Pel inferior calibre 8,0 sp 432</t>
  </si>
  <si>
    <t>PEL Logo Ranchera Sp 407</t>
  </si>
  <si>
    <t>N/A Recetario hamburguesa RANCHERA</t>
  </si>
  <si>
    <t>N/ASticker hamburguesa RANCHERA</t>
  </si>
  <si>
    <t>N/A Porta hamburguesas americana</t>
  </si>
  <si>
    <t>N/A Pel logo perrero bp 240 7x1407</t>
  </si>
  <si>
    <t>PELI. Salch. 7x3 rchera x125g Bog 503x25</t>
  </si>
  <si>
    <t>N/A BOL Promocion Apanados 42x29</t>
  </si>
  <si>
    <t>N/A CJA Pavo Y Vino</t>
  </si>
  <si>
    <t>N/A BOL Recortes Produccion 1kg</t>
  </si>
  <si>
    <t>N/A Bol. Trilogia Suizo 900 g</t>
  </si>
  <si>
    <t>N/A Bol. Pll. Sensacion Suizo x 1,5 kg</t>
  </si>
  <si>
    <t>N/A Bol. Rol. Cas. Zenu 1 kg</t>
  </si>
  <si>
    <t>N/A BOL Trilogia Suizo 900 G</t>
  </si>
  <si>
    <t>Sticker Bajo Precio 6 x 2 R1</t>
  </si>
  <si>
    <t>Pel. Superior S/I Cryovac 503x2.5</t>
  </si>
  <si>
    <t>N/A Etq. Pernil Deshuesado x 1500 g</t>
  </si>
  <si>
    <t>N/A PEL IMP Americana x230g</t>
  </si>
  <si>
    <t>N/A PEL IMP Super Perro x450g</t>
  </si>
  <si>
    <t>PEL Inferior Calibre 7 8 Sp 432</t>
  </si>
  <si>
    <t>N/A Pel superior Imp. Americana X 167g</t>
  </si>
  <si>
    <t>N/A Pel. Sup. Imp. Maxilunch x 500</t>
  </si>
  <si>
    <t>N/APel.Sup.ImpCerveceroSeleccionado230</t>
  </si>
  <si>
    <t>Pel. Superior S/I Sudpack 507x250</t>
  </si>
  <si>
    <t>N/A Cja. Hamb.  Americana x 400 g</t>
  </si>
  <si>
    <t>N/A Etq. Cervecero Pepperoni RICA 500 g</t>
  </si>
  <si>
    <t>N/A Sticker Hamb. preasada Americana</t>
  </si>
  <si>
    <t>N/A Sticker Grt. 125g 20% mas producto</t>
  </si>
  <si>
    <t>N/A Sticker cja. Hamburg. Americana</t>
  </si>
  <si>
    <t>N/A Bol. lomo  Ahum. RICA x 750</t>
  </si>
  <si>
    <t>N/A BOL Generica Trilogia</t>
  </si>
  <si>
    <t>N/A BOL Americana Super Pack 500x3</t>
  </si>
  <si>
    <t>N/A Pel.Imp.Scha Americana500hamburg.100</t>
  </si>
  <si>
    <t>N/AEtq.Salch.Tradi.ZENUx225ggrt.2und</t>
  </si>
  <si>
    <t>BOL. Poliet. 100 x 74 Rosada</t>
  </si>
  <si>
    <t>BOL Polietileno 1x1 Beige</t>
  </si>
  <si>
    <t>Pel.Salch.Suiza Cunit 1 kg</t>
  </si>
  <si>
    <t>N/AEtq.SalchLlaneraRICAX500Grt200g</t>
  </si>
  <si>
    <t>N/A PEL IMP Scha Ideal Rica Cryovac</t>
  </si>
  <si>
    <t>N/A Etq. SalchLlaneraRICA500g Pg.1Lev.2</t>
  </si>
  <si>
    <t>Pel.Salch.RANCHERApentapack 875 grt.175g</t>
  </si>
  <si>
    <t>Sticker Bajo Precio 6 x 2 R3</t>
  </si>
  <si>
    <t>Pel.Salch. manguera cunit 3 x 1kg</t>
  </si>
  <si>
    <t>N/APel.Sup.Imp.TradicionalBipack84g240</t>
  </si>
  <si>
    <t>N/APELSup.imp.tradicionalBipack84g45</t>
  </si>
  <si>
    <t>N/A PelSup.Imp.Americanacorta500grt5und</t>
  </si>
  <si>
    <t>Etq.10x15 Semaforizac. Reelaborar</t>
  </si>
  <si>
    <t>Etq. 10x15 Semaforizac. Desperdicio</t>
  </si>
  <si>
    <t>N/A Etq. Salch.AMERICANAx1.25 kg.Grt 2un</t>
  </si>
  <si>
    <t>N/A Etq. Pollo Sensación Cunit 1,5 Kg</t>
  </si>
  <si>
    <t>PEL Inferior Cryovac x434x60</t>
  </si>
  <si>
    <t>N/A Etq. Salch.AMERICANA x 500kg.Grt 5un</t>
  </si>
  <si>
    <t>N/A Etq.Salch.Dorada RICA 580g Grt.100g</t>
  </si>
  <si>
    <t>N/A Cja hamburguesa Ranchera x 600 g</t>
  </si>
  <si>
    <t>Pel. Sup. Imp.  Salch. Big 1000g</t>
  </si>
  <si>
    <t>Bol. Imp.Hamburg. Zenu 575 g</t>
  </si>
  <si>
    <t>N/A Etq. Salch. Rica x 230 g</t>
  </si>
  <si>
    <t>N/A ETIQ Salch. Rica x500g</t>
  </si>
  <si>
    <t>N/A Etq. Salch. Perro Caliente x 480 g</t>
  </si>
  <si>
    <t>N/A Etq. Salch. Super Perro ZENU x 640 g</t>
  </si>
  <si>
    <t>Cja.Hamburg.ZENU x 3kg cor 390x160x110</t>
  </si>
  <si>
    <t>N/A Sticker grt 1 und</t>
  </si>
  <si>
    <t>BOL Sin Barrera x30x24 Zenu</t>
  </si>
  <si>
    <t>Sticker Bajo Precio 6 x 2 R2</t>
  </si>
  <si>
    <t>Ecoterm V 300 N</t>
  </si>
  <si>
    <t>N/A PET OPP EVEP 105 LAF</t>
  </si>
  <si>
    <t>N/A Etq.Salch.PerroCaliente x 480g grt 3</t>
  </si>
  <si>
    <t>N/A Pel.Salch.Rica x 500g x 407 x 25</t>
  </si>
  <si>
    <t>N/A Pel.Salch.Rica x 230g x 407 x 25</t>
  </si>
  <si>
    <t>ETIQ Blanca Adhesiva 10x 5.5cm</t>
  </si>
  <si>
    <t>N/A ETIQ Cod Barras Pavo Brem 1125g</t>
  </si>
  <si>
    <t>N/A Etq.Cod Barras Pavo Cas. 2.5 kg</t>
  </si>
  <si>
    <t>N/A Etq.Cod Barras Pavo Cunit 1125 g</t>
  </si>
  <si>
    <t>N/A ETIQ Cod Barras Pavo Cas. 1kg</t>
  </si>
  <si>
    <t>N/A Etq.Cod Barras lomo Rica x 750g</t>
  </si>
  <si>
    <t>N/A Etq.Cod Barras Pernil Deshues.1.5 Kg</t>
  </si>
  <si>
    <t>N/AEtq.Cod.BarrasPolloSensacion1.5kg</t>
  </si>
  <si>
    <t>N/A Etq. Salch. Rica x 500 g. Mas 5 un</t>
  </si>
  <si>
    <t>N/APel.Salch.Sp.Perrobidx640gx407x35</t>
  </si>
  <si>
    <t>N/APel.Salch.Perroclnte.Bidx480gx407x35</t>
  </si>
  <si>
    <t>N/A Etq. Salch. Llanera x 218 g</t>
  </si>
  <si>
    <t>ETQ.Salch. Cazadora Cunit x 500g</t>
  </si>
  <si>
    <t>ETIQ. Salch. Perro Caliente x 240 g</t>
  </si>
  <si>
    <t>BOL. Perro caliente super pack 480x3</t>
  </si>
  <si>
    <t>PELI. Practicarne 200 g  x 516 x 70</t>
  </si>
  <si>
    <t>Practicarne 400 g  x 516 x 70</t>
  </si>
  <si>
    <t>N/A ETIQ. Salch. Americana larga x 500 g</t>
  </si>
  <si>
    <t>N/A ETIQ. Salch. SP. Perro x 1280 g</t>
  </si>
  <si>
    <t>PELI. Inf. Sudpack x 522 x 30</t>
  </si>
  <si>
    <t>PELI. Inf. Sudpack x 522 x 35</t>
  </si>
  <si>
    <t>PELI. Salch. Trad. Zenu 450g 503x25</t>
  </si>
  <si>
    <t>PELI. Salch. Trad. Zenu 225g 503x25</t>
  </si>
  <si>
    <t>N/A PELI. Salch. Trad. Zenu 50g 503x25</t>
  </si>
  <si>
    <t>N/A PELI.Salch.Americana Cor. 70g 497x25</t>
  </si>
  <si>
    <t>PELI. Salch. Perro Clnte. 480g 503x25</t>
  </si>
  <si>
    <t>N/A PELI. Salch.Americana 1250g 497x25</t>
  </si>
  <si>
    <t>N/A PELI. Salch. Americana 167g 497x25</t>
  </si>
  <si>
    <t>PELI. Salch. Sp. Perro 640g 503x25</t>
  </si>
  <si>
    <t>PELI. Inf. Winpak 434x35</t>
  </si>
  <si>
    <t>N/A ETIQ. Practicarne x 100g</t>
  </si>
  <si>
    <t>PELI. Inf. Winpak 434 x 60</t>
  </si>
  <si>
    <t>N/A ETIQ. Salch. Americana x 500 g</t>
  </si>
  <si>
    <t>N/A ETIQ. Salch. Perro clnte. x 120 g</t>
  </si>
  <si>
    <t>N/A ETIQ. Salch. Sp. Perro x 160 g</t>
  </si>
  <si>
    <t>N/AETIQ. Salch. super perro x 1280 g Grt</t>
  </si>
  <si>
    <t>N/A ETIQ. Salch. perro caliente x 960 g</t>
  </si>
  <si>
    <t>N/A PELI. Salch. Trad. Zenu 84g 497x25</t>
  </si>
  <si>
    <t>PELI. Practicarne 100g x 516 x 70</t>
  </si>
  <si>
    <t>BOL. Hamburg. ZENU 400 g</t>
  </si>
  <si>
    <t>PELI. Salch. Super Perro 1280 g 503x25</t>
  </si>
  <si>
    <t>PELI. Salch. Super Perro 160 g 503x25</t>
  </si>
  <si>
    <t>PELI. Salch. Perro Cal. 720 g 503x25</t>
  </si>
  <si>
    <t>PELI. Salch. Long 1.1 Kg 407x25</t>
  </si>
  <si>
    <t>PELI. Salch. Long 2.2 Kg 503x25</t>
  </si>
  <si>
    <t xml:space="preserve"> PELI. Inf. Winpack 522x50</t>
  </si>
  <si>
    <t>PELI. Salch. Rica 500 g WP 497x25</t>
  </si>
  <si>
    <t>N/A Etq salchicha dorada x 684 g</t>
  </si>
  <si>
    <t>N/A Bol ImpHamburg Zenu 575 g Cb 82 µm</t>
  </si>
  <si>
    <t>Pel Inferior Daewon 432x35</t>
  </si>
  <si>
    <t>Pel. Scha. Llanera Rica X 500g Winpack</t>
  </si>
  <si>
    <t>PELI. Salch. Llanera 500 g Bta WP 497x25</t>
  </si>
  <si>
    <t>PELI. Salch. Rica 50 g WP 497x25</t>
  </si>
  <si>
    <t>PELI. Salch. Rica 230 g WP 497x25</t>
  </si>
  <si>
    <t>PELI. Salch. POP 1 Kg WP 497x25</t>
  </si>
  <si>
    <t>PELI. Salch. Ideal 611 g WP 497x25</t>
  </si>
  <si>
    <t>PELI. Inf. Winpack 432x50</t>
  </si>
  <si>
    <t>PELI. Inf. Winpack 522x35</t>
  </si>
  <si>
    <t>N/A ETIQ. Salch. Cunit x 684 g</t>
  </si>
  <si>
    <t>ETIQ. Salch. Perro Caliente x 800 g</t>
  </si>
  <si>
    <t>N/AETIQ. Salch. Perro Cal x 480 gts 2 Un</t>
  </si>
  <si>
    <t>ETIQ. Salch. Perro Cal x 640 gtis 2 Und</t>
  </si>
  <si>
    <t>BOL. Poliet. 100 x 74 Roja</t>
  </si>
  <si>
    <t>ETIQ. Salch. Perro Caliente x 320 g</t>
  </si>
  <si>
    <t>PELI. Salch. Perro Clnte. 240g 407x25</t>
  </si>
  <si>
    <t>ETQ. SALCH. CUNIT x 684G</t>
  </si>
  <si>
    <t>PEL. INF. Winpak 434 x 5.0</t>
  </si>
  <si>
    <t>PELI. Inf. Winpak 434x3.0</t>
  </si>
  <si>
    <t>ETIQ. Salch. SP. Perro x 1440 g</t>
  </si>
  <si>
    <t>Pel. Salch. Sp. Perro 1440g x502x2.5</t>
  </si>
  <si>
    <t>PELI. Practicarne 200 x 2 x 516 x 70</t>
  </si>
  <si>
    <t>ETIQ. Salchicha Rica x 684 g 2 Un</t>
  </si>
  <si>
    <t>ETIQ. Salchicha Cunit x 684 g 2 Un</t>
  </si>
  <si>
    <t>PEL Salch. Pollo Pietran 350g</t>
  </si>
  <si>
    <t>Pel. Sup. Imp Cervecero Ranchera 416gr</t>
  </si>
  <si>
    <t>Pel. Sup. Imp Cervecero Ranchera 240gr</t>
  </si>
  <si>
    <t>Sticker Practicarne No Sal</t>
  </si>
  <si>
    <t>ETIQ. Blanca  Plastica 10x12 cm</t>
  </si>
  <si>
    <t>Pel. Strech 50x15x2399</t>
  </si>
  <si>
    <t>Peli. inferior sudpack x 522 X 60</t>
  </si>
  <si>
    <t>Peli. Salchicha Cazadora Cunit X 500 g</t>
  </si>
  <si>
    <t>PELI. Scha. Pll. ZENU 250 g x 407 x 25</t>
  </si>
  <si>
    <t>PELI. Sup .imp.tradicional Bipack 84g 45</t>
  </si>
  <si>
    <t>BOL.  Imp.Hamburg. ZENU 575 g</t>
  </si>
  <si>
    <t>BOL.  Perro caliente super pack 480x3</t>
  </si>
  <si>
    <t>PELI. Salch. Trad. ZENU 450g 503x25</t>
  </si>
  <si>
    <t>PELI. Salch. Trad. ZENU 225g 503x25</t>
  </si>
  <si>
    <t>N/A PELI. Salch. Trad. ZENU 50g 503x25</t>
  </si>
  <si>
    <t>BOL.  Hamburg. ZENU 400 g</t>
  </si>
  <si>
    <t>N/A ETIQ. Salch. Perro Caliente x 800 g</t>
  </si>
  <si>
    <t>N/A ETIQ. Salch. SP. Perro x 1440 g</t>
  </si>
  <si>
    <t>PELI. Salch. Rica 684g 407x25</t>
  </si>
  <si>
    <t>N/A PELI. Salch. Cunit 684g 407x25</t>
  </si>
  <si>
    <t>BOL.Salch.llanera500g Jmn.Ideal230g Rica</t>
  </si>
  <si>
    <t>Etiq. Salchicha Long 2.2 + 4</t>
  </si>
  <si>
    <t>N/A Cja. Hamburg. ZENUx10.2kg 450x300x1</t>
  </si>
  <si>
    <t>PELI. Salch. Cunit 684 g WP 407x25</t>
  </si>
  <si>
    <t>PELI. Salch. Perro Clnte. 800g WP 497x25</t>
  </si>
  <si>
    <t>Caja Hamburguesa Zenu 10.2 Kg</t>
  </si>
  <si>
    <t>BOL. IMP Oferta Especial Zenu</t>
  </si>
  <si>
    <t>BOL. Imp Oferta Esp. Pollo Zenu</t>
  </si>
  <si>
    <t>Porta hamburguesas ZENU</t>
  </si>
  <si>
    <t>CJA. Hamburg.ZENU x 3kg cor 390x160x110</t>
  </si>
  <si>
    <t>CJA. Hamburg. ZENUx10.2kg 450x300x145</t>
  </si>
  <si>
    <t>PELI.schon cvro taj zenu x 50g x 407 x 2</t>
  </si>
  <si>
    <t>N/A PELI. Practicarne 100g x 516 x 70</t>
  </si>
  <si>
    <t>PELI. Salch. Sp. Perro 1440g x502x2.5</t>
  </si>
  <si>
    <t>BOL.Imp.Grt Salchicha 225g ZENU 1011075</t>
  </si>
  <si>
    <t>BOL.2Mtdela.250gSchon.225g grt.Salch.225</t>
  </si>
  <si>
    <t>ETIQ. Salch. Perro Cal x 480 gts 2 Und</t>
  </si>
  <si>
    <t>BOL 2Schon225 Mtdela250 grt Scha225 Zenu</t>
  </si>
  <si>
    <t>PELI. Cerveroni 40 g 430 mm</t>
  </si>
  <si>
    <t>Peli. Salch. Ranchera Qso. 342g 501x24</t>
  </si>
  <si>
    <t>Peli. Salch. Ranchera Qso. 75g 501x24</t>
  </si>
  <si>
    <t>BOL.SalchRanchera480gJmnPietran450gFutb</t>
  </si>
  <si>
    <t>Etq.Salch.PerroCaliente x 480g grt 3 und</t>
  </si>
  <si>
    <t>ETIQ. Salch. perro caliente x 960 g</t>
  </si>
  <si>
    <t>ETIQ. Salch. super perro x 1280 g Grt. 4</t>
  </si>
  <si>
    <t>ETIQ. Salch. Ranchera 342g</t>
  </si>
  <si>
    <t>N/A ETIQ.Salch.Perro Cal x 480 gts 2 Und</t>
  </si>
  <si>
    <t>N/ABOLSalchPerroCaliente480JmnSdw230ZENU</t>
  </si>
  <si>
    <t>Pel. Salch. Ranc Tripack x75g 503x25 NT</t>
  </si>
  <si>
    <t>BOL2Mtdela250Schon225grtPracticne200</t>
  </si>
  <si>
    <t>BOLJmn Estd 450g Grt 2Jmn Snack Pietran</t>
  </si>
  <si>
    <t>N/A ETIQ. Salchicha Cunit x 684 g 4 Un</t>
  </si>
  <si>
    <t>N/A ETIQ. Salchicha Rica x 684 g 4 Un</t>
  </si>
  <si>
    <t>BOL. Sin Barrera 30x24 Hamburg Rica 1 Kg</t>
  </si>
  <si>
    <t>BOL.Sin Barrera 30x24 Hamburg Cunit 1 Kg</t>
  </si>
  <si>
    <t>Cinta Adhesiva 18 mm</t>
  </si>
  <si>
    <t>PEL. Inf. Semirrigida Negra x 461 x 200</t>
  </si>
  <si>
    <t>PEL. Sup. Flexible Darfresh x 460 x 609</t>
  </si>
  <si>
    <t>PELI. Albondiga 322 G 430x1000</t>
  </si>
  <si>
    <t>PELI. Imp. Chrz. RICA 1000g</t>
  </si>
  <si>
    <t>Peli. Hamburg. Ranch. Tiendas 130g 430mm</t>
  </si>
  <si>
    <t>Peli. Inferior Calibre 7.8 Sp 462 mm</t>
  </si>
  <si>
    <t>Peli. Logo Ranchera Sp 430</t>
  </si>
  <si>
    <t>Peli. Sup Sudpack x430x30</t>
  </si>
  <si>
    <t>PELI. Inf. Winpack 522x40</t>
  </si>
  <si>
    <t>PELI. Albondiga 170 G 430x1000</t>
  </si>
  <si>
    <t>ETIQ. Salch. Ranchera 1234 g</t>
  </si>
  <si>
    <t>Cja. Hamburg.RICAx3kg cor 390x160x110</t>
  </si>
  <si>
    <t>Cja. Hamburg.CUNITx3kg cor 390x160x110</t>
  </si>
  <si>
    <t>Bol Sin Barrera x30x24 Blanca</t>
  </si>
  <si>
    <t>Peli. Salch. Ran Chimichurri 342g 503x25</t>
  </si>
  <si>
    <t>Peli. Salch. Ran Chimichurri 450g 503x25</t>
  </si>
  <si>
    <t>Peli. Salch.Ran Chimichurri 1350g 503x25</t>
  </si>
  <si>
    <t>ETIQ. Salch. Perro Caliente 800g Grt. 4</t>
  </si>
  <si>
    <t>ETIQ. Salch. Super Perro 2880 g Grt. 4</t>
  </si>
  <si>
    <t>Porta Hamburguesas Cunit</t>
  </si>
  <si>
    <t>BOLSalchRanchera480g JmnPietran450g</t>
  </si>
  <si>
    <t>Peli. Salch. Ran Chimichurri 171g(5und)</t>
  </si>
  <si>
    <t>Peli. Salch. Ran Queso 171g 503 (5und)</t>
  </si>
  <si>
    <t>Peli. Salch. Ran Miel 171g 503 (5und)</t>
  </si>
  <si>
    <t>Peli. Salch. Ran Queso Mundial 75g(3und)</t>
  </si>
  <si>
    <t>Peli. Salch. Ran Queso 1350g (18und)</t>
  </si>
  <si>
    <t>BOL. Mix Mundial Ranchera 513 g</t>
  </si>
  <si>
    <t>BOL. Burger Pietran 360g</t>
  </si>
  <si>
    <t>CJA. Bites Pietran 200 g.</t>
  </si>
  <si>
    <t>PEL.Salch.Perro con queso.320g 503x25</t>
  </si>
  <si>
    <t>PEL.Salch.Perro con queso.80g 503x25</t>
  </si>
  <si>
    <t>PEL.Salch.Sp.Perro con queso.720g 503x25</t>
  </si>
  <si>
    <t>Sticker Muestra Gtis</t>
  </si>
  <si>
    <t>Sleep sheet laminas 51x43 plas imp</t>
  </si>
  <si>
    <t>ETIQ. Scha Tradicional 84 g + 1 25 g</t>
  </si>
  <si>
    <t>ETIQ. Cervecero Tajado 50 g. x 2</t>
  </si>
  <si>
    <t>PELI.Imp.Chrz.Rica Tripack 495g</t>
  </si>
  <si>
    <t>PEL.Salch.Tradic 84g +1Und 25g 503x25</t>
  </si>
  <si>
    <t>Peli. Salch. Ran Miel  342g 503x25</t>
  </si>
  <si>
    <t>Peli. Salch. Ran Picante 342g 503x25</t>
  </si>
  <si>
    <t>ETIQ. Hsa Veggie Burger 90 g</t>
  </si>
  <si>
    <t>Peli. Salch. Ranchera Picante75g 501x24</t>
  </si>
  <si>
    <t>ETIQ Salch. Big Pollo 1000g</t>
  </si>
  <si>
    <t>Pel. Salch. Pavo Pietran 350g Nueva</t>
  </si>
  <si>
    <t>ETIQ. Cervecero RICA Tajado x 40 g</t>
  </si>
  <si>
    <t>Bolsa Cervecero Zenú x 6 Uds</t>
  </si>
  <si>
    <t>Pel inferior Winpack x 432 x 5 N.COEF</t>
  </si>
  <si>
    <t>PELI.Schon cvro taj ZENU x100g x 407 x 2</t>
  </si>
  <si>
    <t>PELI. Imp. Chrz. RICA 400g Nueva</t>
  </si>
  <si>
    <t>Peli. Salch. Perro Caliente Cunit 3x500g</t>
  </si>
  <si>
    <t>ETQ Chorichuzo Rica 500g</t>
  </si>
  <si>
    <t>PELI Practicarne 180 g  x 516 x 70</t>
  </si>
  <si>
    <t>PELI Practicarne 180 g  x 2 x 516 x 70</t>
  </si>
  <si>
    <t>PEL Inferior Cryovac x 522 x 60</t>
  </si>
  <si>
    <t>Peli. Albondiga  Gratis 3 Und 430 x 25</t>
  </si>
  <si>
    <t>ETI. Salch. Perr.Cazdra Cunit x 1080 g</t>
  </si>
  <si>
    <t>ETI. Salch. Perr.Llanera Rica x 1080 g</t>
  </si>
  <si>
    <t>PEL.Salch.Perr.Cazdra Cunit 1080g 407x25</t>
  </si>
  <si>
    <t>PEL.Salch.Perr.Llanera Rica 1080g 407x25</t>
  </si>
  <si>
    <t>PELI. Salch. Tradic 408g 503x25</t>
  </si>
  <si>
    <t>PELI. Salch. Tradic 408g Prec Sug 503x25</t>
  </si>
  <si>
    <t>PELI. Salch. Tradic 170g 503x25</t>
  </si>
  <si>
    <t>PELI. Salch.RANCH Pent. Ed.Desay 503X25</t>
  </si>
  <si>
    <t>CJA. PLEG. Jmn PIETRAN x 14 Und 490 g</t>
  </si>
  <si>
    <t>CJA. Jmn PIETRAN x 10 PLEG 4900 g</t>
  </si>
  <si>
    <t>N/A PELI. Desmechado PIETRAN 150g x 516</t>
  </si>
  <si>
    <t>ETQ.Pz.CarnePz.Haw grt.Pz.JmnQso113gZenu</t>
  </si>
  <si>
    <t>BOL.Jmn.Estd.450g Salch.Pavo350g Pietran</t>
  </si>
  <si>
    <t xml:space="preserve"> ETIQ.Salch.Perro tripack x 720g Gts1und</t>
  </si>
  <si>
    <t>PELI. Salch. Long 1.1 Kg 503x25</t>
  </si>
  <si>
    <t>ETQ. Salch. Llanera 250 g</t>
  </si>
  <si>
    <t>ETQ. Salch. Cazadora 250 g</t>
  </si>
  <si>
    <t>Peli. Salch. Ran Chimichurri 272g 503x25</t>
  </si>
  <si>
    <t>Peli. Salch. Ranchera Qso. 272g 503x25</t>
  </si>
  <si>
    <t>Peli. Salch. Ran Picante 272g 503x25</t>
  </si>
  <si>
    <t>PELI. Salch. Cunit XL 503x25</t>
  </si>
  <si>
    <t>PELI. Salch. Big XL 503x25</t>
  </si>
  <si>
    <t>ETIQ.Salch. Cunit XL</t>
  </si>
  <si>
    <t>ETIQ.Salch. Big XL</t>
  </si>
  <si>
    <t>BOL.Salch.Perro 480g Albondiga108g Zenu</t>
  </si>
  <si>
    <t>PEL. Superior Cryovac  503 x 25</t>
  </si>
  <si>
    <t>N/A ETIQ. Arveja x</t>
  </si>
  <si>
    <t>PELI. Salch. Llanera Rica 250 g 503x25</t>
  </si>
  <si>
    <t>PELI. Salch. Cazadora Rica 250 g 503x25</t>
  </si>
  <si>
    <t>PELI. Salch. 7x3 Rchera x115g 503x25</t>
  </si>
  <si>
    <t>PELI. Salch.7x3 Rchera115g503x25 Winpack</t>
  </si>
  <si>
    <t xml:space="preserve"> ETIQ.Salch. Jumbo Perro Rica</t>
  </si>
  <si>
    <t xml:space="preserve"> ETIQ.Salch. Perro Caliente 3 x 480 g</t>
  </si>
  <si>
    <t>Etiqueta Salchicha Tradicional x 450g</t>
  </si>
  <si>
    <t>ETIQ Salchicha Super Perro x 640 g</t>
  </si>
  <si>
    <t>ETIQ. Salch. RANCHERA x 342 g</t>
  </si>
  <si>
    <t>ETIQ. Salch. RANCHERA x 480 g</t>
  </si>
  <si>
    <t>ETIQ. Salch. RANCHERA x 230 g 7un</t>
  </si>
  <si>
    <t>BOLSalch.RANCHERA480g JmnPIETRANEstd230g</t>
  </si>
  <si>
    <t>Caja Empaque -carne congelada</t>
  </si>
  <si>
    <t>Bolsa transparente H/sa Corral Congelada</t>
  </si>
  <si>
    <t>Papel de empastillar 12,5 x 12,5 cm</t>
  </si>
  <si>
    <t>Papel de empastillar 15,2 x 15,2 cm</t>
  </si>
  <si>
    <t>ETIQ. Schon Cunit Tajado x 40 g</t>
  </si>
  <si>
    <t>PELI Schon cvro taj zenu x 60g x 407 x 2</t>
  </si>
  <si>
    <t>PELI Salch. Perro Qso Tripack 120 503x25</t>
  </si>
  <si>
    <t>BOL. Bites Kibo 240g</t>
  </si>
  <si>
    <t>CJA. Burger Kibo 340g</t>
  </si>
  <si>
    <t>CJA. Corrugada Burger Kibo</t>
  </si>
  <si>
    <t>CJA. Corrugada Bites Kibo</t>
  </si>
  <si>
    <t>ETIQ. Salch. Jumbo Perro x 150 g</t>
  </si>
  <si>
    <t>Cja Jeronimo RICA BASE</t>
  </si>
  <si>
    <t>Cja Jeronimo RICA TAPA</t>
  </si>
  <si>
    <t>N/A Cja.Jeronimo Jugos TAPA</t>
  </si>
  <si>
    <t>Cja Pricesmart RICA BASE</t>
  </si>
  <si>
    <t>N/A Cja.Jeronimo Jugos BASE</t>
  </si>
  <si>
    <t>Cja.Jeronimo Schon Rica 850g</t>
  </si>
  <si>
    <t>Cja.Pricesmart RICA TAPA</t>
  </si>
  <si>
    <t>Cja.Jeronimo Cervecero 900g BASE</t>
  </si>
  <si>
    <t>Cja.Jeronimo PIETRAN BASE</t>
  </si>
  <si>
    <t>Base Jmc lamina carton completa</t>
  </si>
  <si>
    <t>Cja.Pricesmart cerveroni ZENU BASE</t>
  </si>
  <si>
    <t>Cja.JeronimoGenericaTAPA31.5x26.5x15</t>
  </si>
  <si>
    <t>Cja.Jeronimo ZENU BASE</t>
  </si>
  <si>
    <t>Cja.Jeronimo Cervecero Snack 2 Und x50g</t>
  </si>
  <si>
    <t>Cja.Jeronimo ZENU TAPA</t>
  </si>
  <si>
    <t>Cja.Pricesmart PIETRAN BASE</t>
  </si>
  <si>
    <t>Cja.Pricesmart PIETRAN TAPA</t>
  </si>
  <si>
    <t>Cja.Jeronimo Cervecero 900g TAPA</t>
  </si>
  <si>
    <t>Cja. RANCHERA 131g x24 und. TAPA</t>
  </si>
  <si>
    <t>Cja. RANCHERA 131g x24 und. BASE</t>
  </si>
  <si>
    <t>Cja.PricesmartGenericaTAPA49x37.5x18</t>
  </si>
  <si>
    <t>Cja.Jeronimo RANCHERA BASE</t>
  </si>
  <si>
    <t>Cja.Jeronimo RANCHERA TAPA</t>
  </si>
  <si>
    <t>Cja.Jmn. PIETRAN 167g x24und. BASE</t>
  </si>
  <si>
    <t>Cja.Jmn. PIETRAN 167g x24und. TAPA</t>
  </si>
  <si>
    <t>Cja.Pricesmart RANCHERA Â BASE</t>
  </si>
  <si>
    <t>Cja.Pricesmart RANCHERA TAPA</t>
  </si>
  <si>
    <t>Cja. Jeronimo Nuggets Regular</t>
  </si>
  <si>
    <t>Bol Sin Barrera 16x28 H/SA Kibo</t>
  </si>
  <si>
    <t>Cja.. Jeronimo Jmn PIETRAN x10PLEG</t>
  </si>
  <si>
    <t>N/A BOL.JmnEstd 431g SalchPavo 350g</t>
  </si>
  <si>
    <t>PELI. Superior Cryovac 432 x 25</t>
  </si>
  <si>
    <t>PELI. Inferior Cryovac 462 x 50</t>
  </si>
  <si>
    <t>BOL.JmnEstd 431g SalchPavo 350g PIETRAN</t>
  </si>
  <si>
    <t>Caja Exhibidora Multimarca Tapa H 100</t>
  </si>
  <si>
    <t>Cja.Exhibidora Multimarcas Base 2 Caras</t>
  </si>
  <si>
    <t>Caja Exhibidora Multimarca Tapa 2 Caras</t>
  </si>
  <si>
    <t>Caja Exhibidora Multimarcas 1 Cara Base</t>
  </si>
  <si>
    <t>Separador Caja Multimarca</t>
  </si>
  <si>
    <t>Caja Exhibidora Multimarca Tapa H 140</t>
  </si>
  <si>
    <t>CJA. Burger Kibo pricesmart x12</t>
  </si>
  <si>
    <t>CJA. Corrugada Burger Kibo Pricesmart</t>
  </si>
  <si>
    <t>CJA. Burger Kibo 1020 g Pricesmart</t>
  </si>
  <si>
    <t>Caja Exhibidora Multimarca Tapa 42cm</t>
  </si>
  <si>
    <t>Caja Exhibidora Multimarca Base 42cm</t>
  </si>
  <si>
    <t xml:space="preserve"> ELI. Imp. Chrz. Ternera x 470g 2 Mils</t>
  </si>
  <si>
    <t>Pel. Imp. Scha Big Pollo 1000g 1,8 Mils</t>
  </si>
  <si>
    <t>PELI. Albondiga 322 g 430 Nueva Imagen</t>
  </si>
  <si>
    <t>PELI. Salch.RANCH + Cafe 503 X 25</t>
  </si>
  <si>
    <t>ETIQ Adh 4X4 PPDL-FH+CINTA Cera 110X450</t>
  </si>
  <si>
    <t>ETIQ Adh 10X5.5 PPDL-P+CINTACera110X450</t>
  </si>
  <si>
    <t>BOL Salch Ranchera 920g 3Colcafe 25x35</t>
  </si>
  <si>
    <t>BOL Cerv Snack x 200g 13x23</t>
  </si>
  <si>
    <t>ETQ AUTOADHE 3.0x16 Ranch + Colcafe</t>
  </si>
  <si>
    <t>CJA. Corrugada Plant Burger</t>
  </si>
  <si>
    <t>Sticker Para Codigos de Barra 3.2 x 2.5</t>
  </si>
  <si>
    <t>Etiq. Jmn Snack 35g Queso Finesse 30g</t>
  </si>
  <si>
    <t>ETQ ADH 10x15 TT-P+Cinta CERA 11x450</t>
  </si>
  <si>
    <t>ETQ ADH 5.0x3.5 TT-P Devolucion</t>
  </si>
  <si>
    <t>ETIQ ADH 10.0X6.0 TT-P CINTA CERA110X450</t>
  </si>
  <si>
    <t>ETIQ. Salch. XL Rica x 680 g</t>
  </si>
  <si>
    <t>ETIQ. Salch. XL Cunit x 680 g</t>
  </si>
  <si>
    <t>ETIQ. Muestreo Albondigas x 170 g</t>
  </si>
  <si>
    <t>PELI. Imp. Chorich Tripack Cunit 500g NV</t>
  </si>
  <si>
    <t>PELI. Imp. Chrz. CUNIT 275g NV</t>
  </si>
  <si>
    <t>PELI. Imp. Chrz. CUNIT 1000g Nueva</t>
  </si>
  <si>
    <t>PELI. Imp. Chrz. CUNIT 400g NV</t>
  </si>
  <si>
    <t>ETIQ. Cervecero Cunit Tajado x 40 g</t>
  </si>
  <si>
    <t>PELI. Salch. Sp. Perro 640g 503 FlexLok</t>
  </si>
  <si>
    <t>PELI, Salch Perro Clnte 480g 503 FlexLok</t>
  </si>
  <si>
    <t>PELI. Salch. Llanera Rica 500 g 407x1.8</t>
  </si>
  <si>
    <t>PELI. Salch. King Dog 480 g 503x2.0</t>
  </si>
  <si>
    <t>PELI. Salch. King Dog 400 g 407x2.0</t>
  </si>
  <si>
    <t>PELI. Salch. Cazadora Rica 500 g 407x1.8</t>
  </si>
  <si>
    <t>ETIQ. Schon Cervecero Rica x 450 g</t>
  </si>
  <si>
    <t>ETIQ. Salchicha King Dog x 80 g</t>
  </si>
  <si>
    <t>BOL. Plant Burger 1.2 kg  32x42</t>
  </si>
  <si>
    <t>Laminilla Papel Parafinado 11.5 x 11.5</t>
  </si>
  <si>
    <t>Bol. Combo Pollo Zenu x 1000g</t>
  </si>
  <si>
    <t>Bolsa Recipack 28  x 19 Fuelle 8cm</t>
  </si>
  <si>
    <t>CJA. Hamburguesa RANCHERA x 400g Tapa</t>
  </si>
  <si>
    <t>PELI. Hamburg. Ranchera D1x 400g 432 x5</t>
  </si>
  <si>
    <t>ETIQ. Hamburguesa Ranchera D1 x 400g</t>
  </si>
  <si>
    <t>Etq super salchicha cunit x 500 g LE</t>
  </si>
  <si>
    <t>Pel.Salch.manguera cunit x 1Kg LE</t>
  </si>
  <si>
    <t>Pel salch. ahumada cunit  x 250 g LE</t>
  </si>
  <si>
    <t>Cja hamburguesa ranchera x 400 g LE</t>
  </si>
  <si>
    <t>PELI. Inferior Cryovac 432 x 10</t>
  </si>
  <si>
    <t>Pel.Salch.Suiza Cunit 1 kg LE</t>
  </si>
  <si>
    <t>Pel. Salch. Manguera Cunit 1 Kg LE</t>
  </si>
  <si>
    <t>Pel. Sup. Salch. Big 1000g LE</t>
  </si>
  <si>
    <t>ETIQ 10x15 Semaforizac. Reprocesar NV</t>
  </si>
  <si>
    <t>ETIQ 10x15 Semaforizac. Reelaborar NV</t>
  </si>
  <si>
    <t>ETIQ 10x15 Semaforizac. Desperdicio NV</t>
  </si>
  <si>
    <t>ETIQ 10x15 Semaforizac. Pendiente NV</t>
  </si>
  <si>
    <t>ETIQ 10x15 Semaforizac. Aprobado NV</t>
  </si>
  <si>
    <t>ETIQ 10x15 Semaforizac. Rechazado NV</t>
  </si>
  <si>
    <t>ETIQ 10x15 Semaforizac. Seguimiento NV</t>
  </si>
  <si>
    <t>ETIQ 10x15 Semaf. Ingeniera de Procesos</t>
  </si>
  <si>
    <t>Bol. .Hamburg. ZENU 575 g LE</t>
  </si>
  <si>
    <t>Bol. Hamburg. ZENU 400 g LE</t>
  </si>
  <si>
    <t>Bol. Burger Pietran 360g LE</t>
  </si>
  <si>
    <t>Bol. Cerv Snack x 200g 13x23 LE</t>
  </si>
  <si>
    <t>Etiq. Salch. Super Per 2880 g Gt. 4 LE</t>
  </si>
  <si>
    <t>Cja. Bites Pietran 200 g. LE</t>
  </si>
  <si>
    <t>Pel. Salch. Long 2.2 Kg 503x25 LE</t>
  </si>
  <si>
    <t>Pel. Practicarne 200x2 516 x 70 LE</t>
  </si>
  <si>
    <t>Pel. Salch. Long 1.1 Kg 503x25 LE</t>
  </si>
  <si>
    <t>Pel. Salch. Big XL 1.7 Kg LE</t>
  </si>
  <si>
    <t>Pel. Chrz. Ternera 470 g LE</t>
  </si>
  <si>
    <t>Cja. PLEG. Jmn PIETRAN x 14 Und 490 g LE</t>
  </si>
  <si>
    <t>Pel. Practicarne 200 g 516 x 70 LE</t>
  </si>
  <si>
    <t>Pel. Schon Cerv Taj ZENU 100 g LE</t>
  </si>
  <si>
    <t>Pel. Schon Cerv Taj zenu 50g LE</t>
  </si>
  <si>
    <t>Bol. Hamburg Rica 1 Kg 30x24 LE</t>
  </si>
  <si>
    <t>Bol. Hamburg Cunit 1 Kg 30x24 LE</t>
  </si>
  <si>
    <t>Bol. Plant Burger 1.2 kg 32x42 LE</t>
  </si>
  <si>
    <t>Cja. Hamb. ZENU x 3kg 390x160x110 LE</t>
  </si>
  <si>
    <t>Cja. Hamb. ZENUx10.2kg 450x300x145 LE</t>
  </si>
  <si>
    <t>Cja. Hamb. RICA 3kg 390x160x110 LE</t>
  </si>
  <si>
    <t>Bolsa Cervecero Zenu x 6 Uds LE</t>
  </si>
  <si>
    <t>Bol.JmnEstd 431gSalchPavo350g PIETRAN LE</t>
  </si>
  <si>
    <t>Etiq. Hamburg Ranchera D1 x 400g LE</t>
  </si>
  <si>
    <t>Etiq. Cervecero RICA Tajado x 40 g LE</t>
  </si>
  <si>
    <t>Pel. Salch. Rica 500 g WP 497x25 LE</t>
  </si>
  <si>
    <t>Pel. Scha. Llanera Rica X 500g Win LE</t>
  </si>
  <si>
    <t>Pel. Salch. Rica 50 g WP 497x25 LE</t>
  </si>
  <si>
    <t>Pel. Salch. Rica 230 g WP 497x25 LE</t>
  </si>
  <si>
    <t>Pel. Salch. Ideal 611 g WP 497x25 LE</t>
  </si>
  <si>
    <t>Etiq. Salch. Perro Cal 640 gtis 2 Und LE</t>
  </si>
  <si>
    <t>Pel Salch. Pollo Pietran 350g LE</t>
  </si>
  <si>
    <t>Pel. Salchicha Cazadora Cunit 500g LE</t>
  </si>
  <si>
    <t>Pel. Salch. POP 1 Kg WP 497x25 LE</t>
  </si>
  <si>
    <t>Pel. Salch. Perro Clnte. 240g 407x25 LE</t>
  </si>
  <si>
    <t>Pel. Salch. Perro Cal 800g 497x25 LE</t>
  </si>
  <si>
    <t>Pel. Scha. Pll. ZENU 250 g 407x25 LE</t>
  </si>
  <si>
    <t>Pel. Sup ..tradicional Bipack 84g 45 LE</t>
  </si>
  <si>
    <t>Pel. Salch. Trad. ZENU 450g 503x25 LE</t>
  </si>
  <si>
    <t>Pel. Salch. Trad. ZENU 225g 503x25 LE</t>
  </si>
  <si>
    <t>Pel. Salch. Perro Cal 480g 503x25 LE</t>
  </si>
  <si>
    <t>Pel. Salch. Sp. Perro 640g 503x25 LE</t>
  </si>
  <si>
    <t>Pel. Salch. Super Pe 1280 g 503x25 LE</t>
  </si>
  <si>
    <t>Pel. Salch. Super Pe 160 g 503x25 LE</t>
  </si>
  <si>
    <t>Pel. Salch. Perro Cal. 720 503x25 LE</t>
  </si>
  <si>
    <t>Pel. Salch. Sp. Perro 1440g  LE</t>
  </si>
  <si>
    <t>Etiq. Salch. Perro Cal x 480gts 2 Und LE</t>
  </si>
  <si>
    <t>Pel. Salch. Ranchera Qso. 342g 501x24 LE</t>
  </si>
  <si>
    <t>Pel. Salch. Ranchera Qso. 75g 501x24 LE</t>
  </si>
  <si>
    <t>Etiq. Salch. Perro Cal 480g grt 3 u LE</t>
  </si>
  <si>
    <t>Etiq. Salch. Super Per 1280 Gts 4 LE</t>
  </si>
  <si>
    <t>Etiq. Salch. Ranchera 342g LE</t>
  </si>
  <si>
    <t>Pel. Ranchera Tripack x75g 503x25 NT LE</t>
  </si>
  <si>
    <t>Pel. Albondiga 322 G 430x1000 LE</t>
  </si>
  <si>
    <t>Pel. Chrz. RICA 1000g LE</t>
  </si>
  <si>
    <t>Pel. Hamb. Ranchera 130g 430mm LE</t>
  </si>
  <si>
    <t>Pel. Albondiga 170 G 430 mm LE</t>
  </si>
  <si>
    <t>Etiq. Salch. Ranchera 1234 g LE</t>
  </si>
  <si>
    <t>Etiq. Salch. Perro Cal 800g Grt. 4 LE</t>
  </si>
  <si>
    <t>Pel.Salch.Perro queso.320g 503x25 LE</t>
  </si>
  <si>
    <t>Pel.Salch. Perro queso 80g 503x25 LE</t>
  </si>
  <si>
    <t>Pel..Chrz.Rica Tripack 495g LE</t>
  </si>
  <si>
    <t>Pel. Salch. 7x3 Rchera x115g 503x25 LE</t>
  </si>
  <si>
    <t>Pel. Salch.RANCH + Cafe 503 X 25 LE</t>
  </si>
  <si>
    <t>Pel. Salch. Pavo Pietran 350g Nueva LE</t>
  </si>
  <si>
    <t>Pel. Chrz. RICA 400g Nueva LE</t>
  </si>
  <si>
    <t>Pel. Salch.Perro Cal.Cunit 3x500g LE</t>
  </si>
  <si>
    <t>Pel. Albondiga Gratis 3 Und 430 x 25 LE</t>
  </si>
  <si>
    <t>Pel. Salch. Cazad Cunit 1080 g LE</t>
  </si>
  <si>
    <t>Pel. Salch. Llanera Rica 1080 g LE</t>
  </si>
  <si>
    <t>Pel. Salch. Tradic 408 g 503x25 LE</t>
  </si>
  <si>
    <t>Pel. Salch. Tradic 170g 503x25 LE</t>
  </si>
  <si>
    <t>Etiq.Salch.Perro tripackx720g Gts1und LE</t>
  </si>
  <si>
    <t>Etiq. Salch. Llanera 250 g LE</t>
  </si>
  <si>
    <t>Etiq. Salch. Cazadora 250 g LE</t>
  </si>
  <si>
    <t>Pel.Salch. Perro queso 720g 503x25 LE</t>
  </si>
  <si>
    <t>Pel. Salch. Cunit XL 1.7 Kg LE</t>
  </si>
  <si>
    <t>Etiq. Salch. Jumbo Perro Rica LE</t>
  </si>
  <si>
    <t>Etiq. Salch. Perro Cal 3 x 480 g LE</t>
  </si>
  <si>
    <t>Etiq. Salchicha Tradicional x 450g LE</t>
  </si>
  <si>
    <t>Etiq. Salch. RANCHERA x 230 g 7un LE</t>
  </si>
  <si>
    <t>Etiq. Schon Cunit Tajado x 40 g LE</t>
  </si>
  <si>
    <t>Pel. Schon Cerv Taj ZENU 60 g LE</t>
  </si>
  <si>
    <t>Pel. Salch. Perro Qso Tripack 120 g LE</t>
  </si>
  <si>
    <t>Etiq. Salch. Jumbo Perro x 150 g LE</t>
  </si>
  <si>
    <t>Pel. Scha Big Pollo 1000 g LE</t>
  </si>
  <si>
    <t>Etiq. Jmn Snack 35g Queso Finesse 30g LE</t>
  </si>
  <si>
    <t>Etiq. Salch. XL Rica x 680 g LE</t>
  </si>
  <si>
    <t>Etiq. Salch. XL Cunit x 680 g LE</t>
  </si>
  <si>
    <t>Etiq. Muestreo Albondigas x 170 g LE</t>
  </si>
  <si>
    <t>Pel. Chrz. CUNIT 275g NV LE</t>
  </si>
  <si>
    <t>Pel. Chrz. CUNIT 1000g Nueva LE</t>
  </si>
  <si>
    <t>Pel. Chrz. CUNIT 400g NV LE</t>
  </si>
  <si>
    <t>Pel. Salch Llanera Rica 500 g 407x1.8 LE</t>
  </si>
  <si>
    <t>Pel. Salch. King Dog 480 g 503x2.0 LE</t>
  </si>
  <si>
    <t>Pel. Salch. King Dog 400 g 407x2.0 LE</t>
  </si>
  <si>
    <t>Etiq. Salchicha King Dog x 80 g LE</t>
  </si>
  <si>
    <t>BOL. HSA Veggie Grill PIETRAN 440g</t>
  </si>
  <si>
    <t>Texto</t>
  </si>
  <si>
    <t>Teorico</t>
  </si>
  <si>
    <t>FISICO</t>
  </si>
  <si>
    <t>PICKING</t>
  </si>
  <si>
    <t>DIFERENCIA</t>
  </si>
  <si>
    <t>PELI. Inf. Cryovacx 522 X 50</t>
  </si>
  <si>
    <t>PELI. Imp. Chorich Tripack Cunit 500g Nueva</t>
  </si>
  <si>
    <t>PELI. Imp. Chrz. Ternera x 470g 2 Mils</t>
  </si>
  <si>
    <t>PELI. superior cryovac x 407 x 25</t>
  </si>
  <si>
    <t>PELI. inferior cryovac x 432 x 35</t>
  </si>
  <si>
    <t>PELI. inferior cryovac x 432 x 50</t>
  </si>
  <si>
    <t>PELI. Inf. Winpak 434 x 3.0 ALICO</t>
  </si>
  <si>
    <t>PELI. Inf. Winpak 434 x 3.5  ALICO</t>
  </si>
  <si>
    <t xml:space="preserve">PELI. Inf. Winpak 434 x 5.0  ALICO </t>
  </si>
  <si>
    <t>PELI. Inf. Winpak 434 x 60 ALICO</t>
  </si>
  <si>
    <t>PELI. Schon cvro taj ZENU x 50g x 407 x 25</t>
  </si>
  <si>
    <t>PELI. Schon cvro taj ZENU x100g x 407 x 2</t>
  </si>
  <si>
    <t>PELI. Salch. ahumada cunit  x 250 g</t>
  </si>
  <si>
    <t>PELI..Salch. manguera cunit  x 1 kg</t>
  </si>
  <si>
    <t>PELI. Salch.Perr.Cazdra Cunit 1080g</t>
  </si>
  <si>
    <t>PELI. Salch. Perro Clnte. 240g 503x25</t>
  </si>
  <si>
    <t>PELI. Scha. Pollo Zenú 250 g x 407 x 25</t>
  </si>
  <si>
    <t>PELI. Salch. Pollo Pietran 350g</t>
  </si>
  <si>
    <t>PELI. Sup. Imp.  Salch. Big Res 1000g</t>
  </si>
  <si>
    <t>PELI. Inferior cryovac x 522 x 35</t>
  </si>
  <si>
    <t>PELI. Salch. Perro Clnte. Bid x 480gx503x25</t>
  </si>
  <si>
    <t>PELI. Salch. Perro Clnte. 720 g 503x25</t>
  </si>
  <si>
    <t xml:space="preserve">PELI. Salch. Perro Clnte. 800  g WP 497x25 </t>
  </si>
  <si>
    <t>PELI. Salch. Super Perro 160   g 503x25</t>
  </si>
  <si>
    <t>PELI. Salch. Super Perro 640   g 503x25</t>
  </si>
  <si>
    <t>PELI. Salch. Super Perro 1440 g 502x25</t>
  </si>
  <si>
    <t>PELI. Salch. Trad. Zenu 450 g 497x25</t>
  </si>
  <si>
    <t>PELI. Salch. 7x3 ranchera x125g Bog 503x25(penta)</t>
  </si>
  <si>
    <t>TEXTO BREVE</t>
  </si>
  <si>
    <t>TEORICO</t>
  </si>
  <si>
    <t>Digite Peso</t>
  </si>
  <si>
    <t>Saldo</t>
  </si>
  <si>
    <t>Completos</t>
  </si>
  <si>
    <t>Estandar</t>
  </si>
  <si>
    <t>ETIQ.Salch. Perro Caliente 3 x 480 g (1440 g)</t>
  </si>
  <si>
    <t>ETIQ.Salch. Jumbo Perro Rica</t>
  </si>
  <si>
    <t>MATERIAL</t>
  </si>
  <si>
    <t>ESTANDAR</t>
  </si>
  <si>
    <t># ORDEN</t>
  </si>
  <si>
    <t># MATERIAL</t>
  </si>
  <si>
    <t># LOTE</t>
  </si>
  <si>
    <t>CANTIDAD TEORICA</t>
  </si>
  <si>
    <t>CANTIDAD ENTREGADA</t>
  </si>
  <si>
    <t>CANTIDAD NOTIFICADA</t>
  </si>
  <si>
    <t>ERROR ENTREGA-NOTIFICADO</t>
  </si>
  <si>
    <t>REDONDEAR</t>
  </si>
  <si>
    <t>¿VARIACIÓN?</t>
  </si>
  <si>
    <t>TIPO DE VAREACIÓN</t>
  </si>
  <si>
    <t>CODIGO</t>
  </si>
  <si>
    <t>TEXTO</t>
  </si>
  <si>
    <t>peliculas</t>
  </si>
  <si>
    <t>DIAMETRO EN CM</t>
  </si>
  <si>
    <t>METROS SALDOS DE PELICULAS</t>
  </si>
  <si>
    <t xml:space="preserve">ESTAND. </t>
  </si>
  <si>
    <t>CORE</t>
  </si>
  <si>
    <t>DIA. INI</t>
  </si>
  <si>
    <t>TOTAL</t>
  </si>
  <si>
    <t>CONVERSION A MTS</t>
  </si>
  <si>
    <t>Pel inferior sudpack x 432 x 50</t>
  </si>
  <si>
    <t>SALDOS</t>
  </si>
  <si>
    <t>PELICULAS</t>
  </si>
  <si>
    <t>Color Red Beet WS-P</t>
  </si>
  <si>
    <t>M.</t>
  </si>
  <si>
    <t>UM</t>
  </si>
  <si>
    <t>CIERRE TECNICO</t>
  </si>
  <si>
    <t>PP y 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</si>
</sst>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#,##0.000"/>
    <numFmt numFmtId="165" formatCode="0000000000"/>
    <numFmt numFmtId="166" formatCode="0.0"/>
    <numFmt numFmtId="167" formatCode="&quot;$&quot;#,##0.0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Arial"/>
      <family val="2"/>
    </font>
    <font>
      <b/>
      <sz val="12"/>
      <color theme="1" tint="0.14999847407452621"/>
      <name val="Arial"/>
      <family val="2"/>
    </font>
    <font>
      <b/>
      <sz val="10.5"/>
      <color theme="1" tint="0.14999847407452621"/>
      <name val="Arial"/>
      <family val="2"/>
    </font>
    <font>
      <b/>
      <sz val="10.5"/>
      <name val="Arial"/>
      <family val="2"/>
    </font>
    <font>
      <b/>
      <sz val="12"/>
      <name val="Arial"/>
      <family val="2"/>
    </font>
    <font>
      <b/>
      <sz val="12"/>
      <color theme="0"/>
      <name val="Arial"/>
      <family val="2"/>
    </font>
    <font>
      <b/>
      <sz val="10.5"/>
      <color theme="0"/>
      <name val="Arial"/>
      <family val="2"/>
    </font>
    <font>
      <b/>
      <i/>
      <sz val="12"/>
      <color rgb="FFFF0000"/>
      <name val="Arial"/>
      <family val="2"/>
    </font>
    <font>
      <b/>
      <i/>
      <sz val="10"/>
      <color indexed="9"/>
      <name val="Arial"/>
      <family val="2"/>
    </font>
    <font>
      <b/>
      <sz val="11"/>
      <color indexed="9"/>
      <name val="Arial"/>
      <family val="2"/>
    </font>
    <font>
      <b/>
      <sz val="10"/>
      <color rgb="FFFF0000"/>
      <name val="Arial"/>
      <family val="2"/>
    </font>
    <font>
      <b/>
      <i/>
      <sz val="11"/>
      <color theme="1"/>
      <name val="Times New Roman"/>
      <family val="1"/>
    </font>
    <font>
      <b/>
      <sz val="2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8"/>
      <color indexed="8"/>
      <name val="Calibri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u/>
      <sz val="12"/>
      <name val="Arial"/>
      <family val="2"/>
    </font>
    <font>
      <b/>
      <sz val="12"/>
      <color theme="1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</borders>
  <cellStyleXfs count="3">
    <xf numFmtId="0" fontId="0" fillId="0" borderId="0"/>
    <xf numFmtId="0" fontId="16" fillId="0" borderId="0"/>
    <xf numFmtId="0" fontId="26" fillId="0" borderId="0"/>
  </cellStyleXfs>
  <cellXfs count="155">
    <xf numFmtId="0" fontId="0" fillId="0" borderId="0" xfId="0"/>
    <xf numFmtId="0" fontId="0" fillId="0" borderId="0" xfId="0" applyNumberFormat="1"/>
    <xf numFmtId="0" fontId="2" fillId="2" borderId="1" xfId="0" applyFont="1" applyFill="1" applyBorder="1" applyAlignment="1" applyProtection="1">
      <alignment horizontal="center"/>
    </xf>
    <xf numFmtId="0" fontId="2" fillId="2" borderId="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4" fillId="3" borderId="4" xfId="0" applyFont="1" applyFill="1" applyBorder="1" applyProtection="1"/>
    <xf numFmtId="0" fontId="3" fillId="5" borderId="4" xfId="0" applyFont="1" applyFill="1" applyBorder="1" applyAlignment="1" applyProtection="1">
      <alignment horizontal="center"/>
    </xf>
    <xf numFmtId="0" fontId="4" fillId="5" borderId="4" xfId="0" applyFont="1" applyFill="1" applyBorder="1" applyProtection="1"/>
    <xf numFmtId="0" fontId="5" fillId="5" borderId="4" xfId="0" applyFont="1" applyFill="1" applyBorder="1" applyProtection="1"/>
    <xf numFmtId="0" fontId="3" fillId="7" borderId="4" xfId="0" applyFont="1" applyFill="1" applyBorder="1" applyAlignment="1" applyProtection="1">
      <alignment horizontal="center"/>
    </xf>
    <xf numFmtId="0" fontId="4" fillId="7" borderId="4" xfId="0" applyFont="1" applyFill="1" applyBorder="1" applyProtection="1"/>
    <xf numFmtId="0" fontId="3" fillId="8" borderId="4" xfId="0" applyFont="1" applyFill="1" applyBorder="1" applyAlignment="1" applyProtection="1">
      <alignment horizontal="center"/>
    </xf>
    <xf numFmtId="0" fontId="4" fillId="8" borderId="4" xfId="0" applyFont="1" applyFill="1" applyBorder="1" applyProtection="1"/>
    <xf numFmtId="0" fontId="3" fillId="10" borderId="4" xfId="0" applyFont="1" applyFill="1" applyBorder="1" applyAlignment="1" applyProtection="1">
      <alignment horizontal="center"/>
    </xf>
    <xf numFmtId="0" fontId="4" fillId="10" borderId="4" xfId="0" applyFont="1" applyFill="1" applyBorder="1" applyProtection="1"/>
    <xf numFmtId="0" fontId="3" fillId="11" borderId="4" xfId="0" applyFont="1" applyFill="1" applyBorder="1" applyAlignment="1" applyProtection="1">
      <alignment horizontal="center"/>
    </xf>
    <xf numFmtId="0" fontId="4" fillId="11" borderId="4" xfId="0" applyFont="1" applyFill="1" applyBorder="1" applyProtection="1"/>
    <xf numFmtId="0" fontId="3" fillId="6" borderId="4" xfId="0" applyFont="1" applyFill="1" applyBorder="1" applyAlignment="1" applyProtection="1">
      <alignment horizontal="center"/>
    </xf>
    <xf numFmtId="0" fontId="4" fillId="6" borderId="4" xfId="0" applyFont="1" applyFill="1" applyBorder="1" applyProtection="1"/>
    <xf numFmtId="0" fontId="3" fillId="3" borderId="6" xfId="0" applyFont="1" applyFill="1" applyBorder="1" applyProtection="1"/>
    <xf numFmtId="0" fontId="3" fillId="13" borderId="4" xfId="0" applyFont="1" applyFill="1" applyBorder="1" applyAlignment="1" applyProtection="1">
      <alignment horizontal="center"/>
    </xf>
    <xf numFmtId="0" fontId="4" fillId="13" borderId="4" xfId="0" applyFont="1" applyFill="1" applyBorder="1" applyProtection="1"/>
    <xf numFmtId="0" fontId="3" fillId="14" borderId="4" xfId="0" applyFont="1" applyFill="1" applyBorder="1" applyAlignment="1" applyProtection="1">
      <alignment horizontal="center"/>
    </xf>
    <xf numFmtId="0" fontId="4" fillId="14" borderId="4" xfId="0" applyFont="1" applyFill="1" applyBorder="1" applyProtection="1"/>
    <xf numFmtId="0" fontId="3" fillId="15" borderId="4" xfId="0" applyFont="1" applyFill="1" applyBorder="1" applyAlignment="1" applyProtection="1">
      <alignment horizontal="center"/>
    </xf>
    <xf numFmtId="0" fontId="4" fillId="15" borderId="4" xfId="0" applyFont="1" applyFill="1" applyBorder="1" applyProtection="1"/>
    <xf numFmtId="0" fontId="6" fillId="12" borderId="4" xfId="0" applyFont="1" applyFill="1" applyBorder="1" applyAlignment="1" applyProtection="1">
      <alignment horizontal="center"/>
    </xf>
    <xf numFmtId="0" fontId="5" fillId="12" borderId="4" xfId="0" applyFont="1" applyFill="1" applyBorder="1" applyProtection="1"/>
    <xf numFmtId="0" fontId="3" fillId="16" borderId="4" xfId="0" applyFont="1" applyFill="1" applyBorder="1" applyAlignment="1" applyProtection="1">
      <alignment horizontal="center"/>
    </xf>
    <xf numFmtId="0" fontId="4" fillId="16" borderId="4" xfId="0" applyFont="1" applyFill="1" applyBorder="1" applyProtection="1"/>
    <xf numFmtId="0" fontId="4" fillId="15" borderId="6" xfId="0" applyFont="1" applyFill="1" applyBorder="1" applyProtection="1"/>
    <xf numFmtId="1" fontId="4" fillId="17" borderId="5" xfId="0" applyNumberFormat="1" applyFont="1" applyFill="1" applyBorder="1" applyAlignment="1" applyProtection="1">
      <alignment horizontal="center" vertical="center"/>
    </xf>
    <xf numFmtId="0" fontId="7" fillId="15" borderId="4" xfId="0" applyFont="1" applyFill="1" applyBorder="1" applyAlignment="1" applyProtection="1">
      <alignment horizontal="center"/>
    </xf>
    <xf numFmtId="0" fontId="8" fillId="15" borderId="4" xfId="0" applyFont="1" applyFill="1" applyBorder="1" applyProtection="1"/>
    <xf numFmtId="0" fontId="2" fillId="2" borderId="7" xfId="0" applyFont="1" applyFill="1" applyBorder="1" applyAlignment="1" applyProtection="1">
      <alignment horizontal="center"/>
      <protection locked="0"/>
    </xf>
    <xf numFmtId="0" fontId="2" fillId="2" borderId="8" xfId="0" applyFont="1" applyFill="1" applyBorder="1" applyAlignment="1" applyProtection="1">
      <alignment horizontal="center"/>
      <protection locked="0"/>
    </xf>
    <xf numFmtId="164" fontId="9" fillId="2" borderId="9" xfId="0" applyNumberFormat="1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</xf>
    <xf numFmtId="0" fontId="4" fillId="19" borderId="4" xfId="0" applyFont="1" applyFill="1" applyBorder="1" applyAlignment="1" applyProtection="1"/>
    <xf numFmtId="1" fontId="4" fillId="9" borderId="5" xfId="0" applyNumberFormat="1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3" fontId="2" fillId="2" borderId="2" xfId="0" applyNumberFormat="1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0" fontId="2" fillId="2" borderId="8" xfId="0" applyFont="1" applyFill="1" applyBorder="1" applyAlignment="1" applyProtection="1">
      <alignment horizontal="center" vertical="center"/>
      <protection locked="0"/>
    </xf>
    <xf numFmtId="3" fontId="10" fillId="2" borderId="10" xfId="0" applyNumberFormat="1" applyFont="1" applyFill="1" applyBorder="1" applyAlignment="1" applyProtection="1">
      <alignment horizontal="center" vertical="center"/>
      <protection locked="0"/>
    </xf>
    <xf numFmtId="3" fontId="11" fillId="2" borderId="1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" fontId="4" fillId="17" borderId="4" xfId="0" applyNumberFormat="1" applyFont="1" applyFill="1" applyBorder="1" applyAlignment="1" applyProtection="1">
      <alignment horizontal="center" vertical="center"/>
    </xf>
    <xf numFmtId="0" fontId="0" fillId="18" borderId="0" xfId="0" applyFill="1" applyAlignment="1" applyProtection="1">
      <alignment horizontal="center" vertical="center"/>
      <protection locked="0"/>
    </xf>
    <xf numFmtId="3" fontId="4" fillId="9" borderId="4" xfId="0" applyNumberFormat="1" applyFont="1" applyFill="1" applyBorder="1" applyAlignment="1" applyProtection="1">
      <alignment horizontal="center" vertical="center"/>
    </xf>
    <xf numFmtId="1" fontId="4" fillId="9" borderId="4" xfId="0" applyNumberFormat="1" applyFont="1" applyFill="1" applyBorder="1" applyAlignment="1" applyProtection="1">
      <alignment horizontal="center" vertical="center"/>
      <protection locked="0"/>
    </xf>
    <xf numFmtId="1" fontId="1" fillId="9" borderId="4" xfId="0" applyNumberFormat="1" applyFont="1" applyFill="1" applyBorder="1" applyAlignment="1" applyProtection="1">
      <alignment horizontal="center" vertical="center"/>
      <protection locked="0"/>
    </xf>
    <xf numFmtId="164" fontId="8" fillId="20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11" xfId="0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0" fontId="13" fillId="19" borderId="11" xfId="0" applyFont="1" applyFill="1" applyBorder="1" applyAlignment="1">
      <alignment horizontal="center" vertical="center"/>
    </xf>
    <xf numFmtId="0" fontId="13" fillId="19" borderId="11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165" fontId="13" fillId="19" borderId="11" xfId="0" applyNumberFormat="1" applyFont="1" applyFill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7" fontId="15" fillId="10" borderId="11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11" xfId="0" applyBorder="1"/>
    <xf numFmtId="0" fontId="3" fillId="22" borderId="4" xfId="0" applyFont="1" applyFill="1" applyBorder="1" applyAlignment="1" applyProtection="1">
      <alignment horizontal="center"/>
    </xf>
    <xf numFmtId="0" fontId="3" fillId="23" borderId="4" xfId="0" applyFont="1" applyFill="1" applyBorder="1" applyAlignment="1" applyProtection="1">
      <alignment horizontal="center"/>
    </xf>
    <xf numFmtId="0" fontId="3" fillId="11" borderId="6" xfId="0" applyFont="1" applyFill="1" applyBorder="1" applyProtection="1"/>
    <xf numFmtId="0" fontId="17" fillId="0" borderId="4" xfId="1" applyFont="1" applyBorder="1" applyAlignment="1" applyProtection="1">
      <alignment horizontal="center"/>
    </xf>
    <xf numFmtId="0" fontId="16" fillId="0" borderId="4" xfId="1" applyFont="1" applyBorder="1" applyAlignment="1" applyProtection="1">
      <alignment horizontal="center"/>
    </xf>
    <xf numFmtId="1" fontId="17" fillId="24" borderId="12" xfId="1" applyNumberFormat="1" applyFont="1" applyFill="1" applyBorder="1" applyAlignment="1" applyProtection="1">
      <alignment horizontal="center" vertical="center" wrapText="1"/>
    </xf>
    <xf numFmtId="0" fontId="18" fillId="0" borderId="15" xfId="1" applyFont="1" applyFill="1" applyBorder="1" applyAlignment="1" applyProtection="1">
      <alignment horizontal="center" vertical="center"/>
    </xf>
    <xf numFmtId="0" fontId="16" fillId="0" borderId="15" xfId="1" applyFill="1" applyBorder="1" applyAlignment="1" applyProtection="1">
      <alignment horizontal="center" vertical="center"/>
    </xf>
    <xf numFmtId="1" fontId="17" fillId="24" borderId="12" xfId="1" applyNumberFormat="1" applyFont="1" applyFill="1" applyBorder="1" applyAlignment="1" applyProtection="1">
      <alignment horizontal="center" wrapText="1"/>
    </xf>
    <xf numFmtId="0" fontId="0" fillId="26" borderId="0" xfId="0" applyFill="1" applyProtection="1"/>
    <xf numFmtId="0" fontId="6" fillId="27" borderId="4" xfId="0" applyFont="1" applyFill="1" applyBorder="1" applyAlignment="1" applyProtection="1">
      <alignment horizontal="center" vertical="center"/>
      <protection locked="0"/>
    </xf>
    <xf numFmtId="0" fontId="20" fillId="27" borderId="4" xfId="0" applyFont="1" applyFill="1" applyBorder="1" applyAlignment="1" applyProtection="1">
      <alignment horizontal="center" vertical="center"/>
      <protection locked="0"/>
    </xf>
    <xf numFmtId="0" fontId="21" fillId="27" borderId="6" xfId="0" applyFont="1" applyFill="1" applyBorder="1" applyAlignment="1" applyProtection="1">
      <alignment horizontal="center" vertical="center"/>
      <protection locked="0"/>
    </xf>
    <xf numFmtId="1" fontId="22" fillId="25" borderId="4" xfId="1" applyNumberFormat="1" applyFont="1" applyFill="1" applyBorder="1" applyProtection="1"/>
    <xf numFmtId="0" fontId="20" fillId="0" borderId="19" xfId="0" applyFont="1" applyBorder="1" applyAlignment="1" applyProtection="1">
      <alignment horizontal="center" vertical="center"/>
    </xf>
    <xf numFmtId="0" fontId="20" fillId="0" borderId="20" xfId="0" applyFont="1" applyBorder="1" applyAlignment="1" applyProtection="1">
      <alignment horizontal="center" vertical="center"/>
    </xf>
    <xf numFmtId="0" fontId="20" fillId="0" borderId="21" xfId="0" applyFont="1" applyBorder="1" applyAlignment="1" applyProtection="1">
      <alignment horizontal="center" vertical="center"/>
    </xf>
    <xf numFmtId="1" fontId="22" fillId="24" borderId="22" xfId="1" applyNumberFormat="1" applyFont="1" applyFill="1" applyBorder="1" applyProtection="1"/>
    <xf numFmtId="0" fontId="6" fillId="27" borderId="12" xfId="0" applyFont="1" applyFill="1" applyBorder="1" applyAlignment="1" applyProtection="1">
      <alignment horizontal="center" vertical="center"/>
    </xf>
    <xf numFmtId="0" fontId="22" fillId="28" borderId="23" xfId="1" applyFont="1" applyFill="1" applyBorder="1" applyProtection="1"/>
    <xf numFmtId="0" fontId="22" fillId="28" borderId="24" xfId="1" applyFont="1" applyFill="1" applyBorder="1" applyProtection="1"/>
    <xf numFmtId="0" fontId="16" fillId="26" borderId="0" xfId="1" applyFill="1" applyProtection="1"/>
    <xf numFmtId="0" fontId="22" fillId="0" borderId="11" xfId="1" applyFont="1" applyFill="1" applyBorder="1" applyProtection="1"/>
    <xf numFmtId="0" fontId="22" fillId="0" borderId="18" xfId="1" applyFont="1" applyFill="1" applyBorder="1" applyProtection="1"/>
    <xf numFmtId="1" fontId="22" fillId="24" borderId="6" xfId="1" applyNumberFormat="1" applyFont="1" applyFill="1" applyBorder="1" applyProtection="1"/>
    <xf numFmtId="0" fontId="6" fillId="27" borderId="25" xfId="0" applyFont="1" applyFill="1" applyBorder="1" applyAlignment="1" applyProtection="1">
      <alignment horizontal="center" vertical="center"/>
    </xf>
    <xf numFmtId="0" fontId="20" fillId="26" borderId="0" xfId="0" applyFont="1" applyFill="1" applyProtection="1"/>
    <xf numFmtId="0" fontId="23" fillId="26" borderId="0" xfId="1" applyFont="1" applyFill="1" applyProtection="1"/>
    <xf numFmtId="0" fontId="3" fillId="5" borderId="6" xfId="0" applyFont="1" applyFill="1" applyBorder="1" applyProtection="1"/>
    <xf numFmtId="0" fontId="21" fillId="27" borderId="4" xfId="0" applyFont="1" applyFill="1" applyBorder="1" applyAlignment="1" applyProtection="1">
      <alignment horizontal="center" vertical="center"/>
      <protection locked="0"/>
    </xf>
    <xf numFmtId="0" fontId="24" fillId="27" borderId="4" xfId="0" applyFont="1" applyFill="1" applyBorder="1" applyAlignment="1" applyProtection="1">
      <alignment horizontal="center" vertical="center"/>
      <protection locked="0"/>
    </xf>
    <xf numFmtId="0" fontId="20" fillId="0" borderId="4" xfId="0" applyFont="1" applyBorder="1" applyAlignment="1" applyProtection="1">
      <alignment horizontal="center" vertical="center"/>
    </xf>
    <xf numFmtId="0" fontId="3" fillId="29" borderId="4" xfId="0" applyFont="1" applyFill="1" applyBorder="1" applyAlignment="1" applyProtection="1">
      <alignment horizontal="center"/>
    </xf>
    <xf numFmtId="0" fontId="3" fillId="29" borderId="6" xfId="0" applyFont="1" applyFill="1" applyBorder="1" applyProtection="1"/>
    <xf numFmtId="0" fontId="6" fillId="0" borderId="19" xfId="0" applyFont="1" applyBorder="1" applyAlignment="1" applyProtection="1">
      <alignment horizontal="center" vertical="center"/>
    </xf>
    <xf numFmtId="0" fontId="20" fillId="27" borderId="27" xfId="0" applyFont="1" applyFill="1" applyBorder="1" applyAlignment="1" applyProtection="1">
      <alignment horizontal="center" vertical="center"/>
      <protection locked="0"/>
    </xf>
    <xf numFmtId="0" fontId="3" fillId="22" borderId="6" xfId="0" applyFont="1" applyFill="1" applyBorder="1" applyProtection="1"/>
    <xf numFmtId="0" fontId="6" fillId="22" borderId="4" xfId="0" applyFont="1" applyFill="1" applyBorder="1" applyAlignment="1" applyProtection="1">
      <alignment horizontal="center"/>
    </xf>
    <xf numFmtId="0" fontId="3" fillId="30" borderId="4" xfId="0" applyFont="1" applyFill="1" applyBorder="1" applyAlignment="1" applyProtection="1">
      <alignment horizontal="center"/>
    </xf>
    <xf numFmtId="0" fontId="3" fillId="30" borderId="6" xfId="0" applyFont="1" applyFill="1" applyBorder="1" applyProtection="1"/>
    <xf numFmtId="0" fontId="25" fillId="27" borderId="26" xfId="0" applyFont="1" applyFill="1" applyBorder="1" applyAlignment="1" applyProtection="1">
      <alignment horizontal="center" vertical="center"/>
      <protection locked="0"/>
    </xf>
    <xf numFmtId="0" fontId="3" fillId="23" borderId="6" xfId="0" applyFont="1" applyFill="1" applyBorder="1" applyProtection="1"/>
    <xf numFmtId="0" fontId="3" fillId="31" borderId="4" xfId="0" applyFont="1" applyFill="1" applyBorder="1" applyAlignment="1" applyProtection="1">
      <alignment horizontal="center"/>
    </xf>
    <xf numFmtId="0" fontId="3" fillId="31" borderId="6" xfId="0" applyFont="1" applyFill="1" applyBorder="1" applyProtection="1"/>
    <xf numFmtId="0" fontId="3" fillId="32" borderId="4" xfId="0" applyFont="1" applyFill="1" applyBorder="1" applyAlignment="1" applyProtection="1">
      <alignment horizontal="center"/>
    </xf>
    <xf numFmtId="0" fontId="3" fillId="32" borderId="6" xfId="0" applyFont="1" applyFill="1" applyBorder="1" applyProtection="1"/>
    <xf numFmtId="0" fontId="3" fillId="7" borderId="6" xfId="0" applyFont="1" applyFill="1" applyBorder="1" applyProtection="1"/>
    <xf numFmtId="0" fontId="3" fillId="8" borderId="6" xfId="0" applyFont="1" applyFill="1" applyBorder="1" applyProtection="1"/>
    <xf numFmtId="0" fontId="21" fillId="3" borderId="4" xfId="0" applyFont="1" applyFill="1" applyBorder="1" applyAlignment="1" applyProtection="1">
      <alignment horizontal="center" vertical="center"/>
      <protection locked="0"/>
    </xf>
    <xf numFmtId="1" fontId="22" fillId="3" borderId="4" xfId="1" applyNumberFormat="1" applyFont="1" applyFill="1" applyBorder="1" applyProtection="1"/>
    <xf numFmtId="0" fontId="3" fillId="10" borderId="6" xfId="0" applyFont="1" applyFill="1" applyBorder="1" applyProtection="1"/>
    <xf numFmtId="0" fontId="20" fillId="3" borderId="4" xfId="0" applyFont="1" applyFill="1" applyBorder="1" applyAlignment="1" applyProtection="1">
      <alignment horizontal="center" vertical="center"/>
    </xf>
    <xf numFmtId="0" fontId="3" fillId="6" borderId="6" xfId="0" applyFont="1" applyFill="1" applyBorder="1" applyProtection="1"/>
    <xf numFmtId="0" fontId="21" fillId="27" borderId="15" xfId="0" applyFont="1" applyFill="1" applyBorder="1" applyAlignment="1" applyProtection="1">
      <alignment horizontal="center" vertical="center"/>
      <protection locked="0"/>
    </xf>
    <xf numFmtId="0" fontId="7" fillId="30" borderId="4" xfId="0" applyFont="1" applyFill="1" applyBorder="1" applyAlignment="1" applyProtection="1">
      <alignment horizontal="center"/>
    </xf>
    <xf numFmtId="0" fontId="7" fillId="30" borderId="6" xfId="0" applyFont="1" applyFill="1" applyBorder="1" applyProtection="1"/>
    <xf numFmtId="1" fontId="17" fillId="24" borderId="15" xfId="1" applyNumberFormat="1" applyFont="1" applyFill="1" applyBorder="1" applyAlignment="1" applyProtection="1">
      <alignment vertical="center" wrapText="1"/>
    </xf>
    <xf numFmtId="0" fontId="17" fillId="25" borderId="15" xfId="1" applyFont="1" applyFill="1" applyBorder="1" applyAlignment="1" applyProtection="1">
      <alignment vertical="center"/>
    </xf>
    <xf numFmtId="1" fontId="17" fillId="24" borderId="28" xfId="1" applyNumberFormat="1" applyFont="1" applyFill="1" applyBorder="1" applyAlignment="1" applyProtection="1">
      <alignment horizontal="center" wrapText="1"/>
    </xf>
    <xf numFmtId="1" fontId="17" fillId="24" borderId="29" xfId="1" applyNumberFormat="1" applyFont="1" applyFill="1" applyBorder="1" applyAlignment="1" applyProtection="1">
      <alignment horizontal="center" wrapText="1"/>
    </xf>
    <xf numFmtId="0" fontId="20" fillId="26" borderId="0" xfId="0" applyFont="1" applyFill="1" applyProtection="1">
      <protection locked="0"/>
    </xf>
    <xf numFmtId="0" fontId="20" fillId="26" borderId="0" xfId="0" applyFont="1" applyFill="1"/>
    <xf numFmtId="0" fontId="22" fillId="28" borderId="30" xfId="1" applyFont="1" applyFill="1" applyBorder="1" applyProtection="1"/>
    <xf numFmtId="0" fontId="22" fillId="28" borderId="11" xfId="1" applyFont="1" applyFill="1" applyBorder="1" applyProtection="1"/>
    <xf numFmtId="0" fontId="23" fillId="26" borderId="17" xfId="1" applyFont="1" applyFill="1" applyBorder="1" applyProtection="1"/>
    <xf numFmtId="0" fontId="22" fillId="0" borderId="24" xfId="1" applyFont="1" applyFill="1" applyBorder="1" applyProtection="1"/>
    <xf numFmtId="0" fontId="0" fillId="26" borderId="0" xfId="0" applyFill="1"/>
    <xf numFmtId="0" fontId="0" fillId="26" borderId="0" xfId="0" applyFill="1" applyProtection="1">
      <protection locked="0"/>
    </xf>
    <xf numFmtId="0" fontId="0" fillId="26" borderId="0" xfId="0" applyFill="1" applyAlignment="1">
      <alignment horizontal="center" vertical="center"/>
    </xf>
    <xf numFmtId="0" fontId="12" fillId="4" borderId="4" xfId="0" applyFont="1" applyFill="1" applyBorder="1" applyAlignment="1" applyProtection="1">
      <alignment horizontal="center" vertical="center"/>
      <protection locked="0"/>
    </xf>
    <xf numFmtId="0" fontId="0" fillId="33" borderId="0" xfId="0" applyFill="1"/>
    <xf numFmtId="0" fontId="27" fillId="33" borderId="0" xfId="0" applyFont="1" applyFill="1"/>
    <xf numFmtId="0" fontId="0" fillId="13" borderId="11" xfId="0" applyFill="1" applyBorder="1"/>
    <xf numFmtId="2" fontId="0" fillId="0" borderId="0" xfId="0" applyNumberFormat="1" applyAlignment="1">
      <alignment horizontal="center" vertical="center"/>
    </xf>
    <xf numFmtId="2" fontId="2" fillId="2" borderId="2" xfId="0" applyNumberFormat="1" applyFont="1" applyFill="1" applyBorder="1" applyAlignment="1" applyProtection="1">
      <alignment horizontal="center" vertical="center"/>
    </xf>
    <xf numFmtId="2" fontId="2" fillId="2" borderId="8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0" borderId="0" xfId="0" applyProtection="1"/>
    <xf numFmtId="0" fontId="29" fillId="0" borderId="0" xfId="0" applyFont="1"/>
    <xf numFmtId="1" fontId="17" fillId="24" borderId="13" xfId="1" applyNumberFormat="1" applyFont="1" applyFill="1" applyBorder="1" applyAlignment="1" applyProtection="1">
      <alignment horizontal="center" wrapText="1"/>
    </xf>
    <xf numFmtId="1" fontId="17" fillId="24" borderId="14" xfId="1" applyNumberFormat="1" applyFont="1" applyFill="1" applyBorder="1" applyAlignment="1" applyProtection="1">
      <alignment horizontal="center" wrapText="1"/>
    </xf>
    <xf numFmtId="0" fontId="17" fillId="25" borderId="4" xfId="1" applyFont="1" applyFill="1" applyBorder="1" applyAlignment="1" applyProtection="1">
      <alignment horizontal="center"/>
    </xf>
    <xf numFmtId="0" fontId="17" fillId="26" borderId="16" xfId="1" applyFont="1" applyFill="1" applyBorder="1" applyAlignment="1" applyProtection="1">
      <alignment horizontal="center" vertical="center"/>
    </xf>
    <xf numFmtId="0" fontId="19" fillId="26" borderId="17" xfId="0" applyFont="1" applyFill="1" applyBorder="1" applyAlignment="1" applyProtection="1">
      <alignment horizontal="center" vertical="center"/>
    </xf>
    <xf numFmtId="0" fontId="19" fillId="26" borderId="18" xfId="0" applyFont="1" applyFill="1" applyBorder="1" applyAlignment="1" applyProtection="1">
      <alignment horizontal="center" vertical="center"/>
    </xf>
    <xf numFmtId="166" fontId="14" fillId="21" borderId="11" xfId="0" applyNumberFormat="1" applyFont="1" applyFill="1" applyBorder="1" applyAlignment="1">
      <alignment horizontal="center" vertical="center"/>
    </xf>
    <xf numFmtId="167" fontId="15" fillId="10" borderId="11" xfId="0" applyNumberFormat="1" applyFont="1" applyFill="1" applyBorder="1" applyAlignment="1">
      <alignment horizontal="center" vertical="center"/>
    </xf>
    <xf numFmtId="0" fontId="28" fillId="0" borderId="31" xfId="0" applyFont="1" applyBorder="1" applyAlignment="1">
      <alignment horizontal="center"/>
    </xf>
    <xf numFmtId="0" fontId="28" fillId="0" borderId="0" xfId="0" applyFont="1" applyAlignment="1">
      <alignment horizontal="center"/>
    </xf>
  </cellXfs>
  <cellStyles count="3">
    <cellStyle name="Normal" xfId="0" builtinId="0"/>
    <cellStyle name="Normal 2 2 2" xfId="2"/>
    <cellStyle name="Normal_HSAS" xfId="1"/>
  </cellStyles>
  <dxfs count="54">
    <dxf>
      <font>
        <b/>
        <i val="0"/>
        <color rgb="FFFF0000"/>
      </font>
    </dxf>
    <dxf>
      <font>
        <b/>
        <i val="0"/>
        <color rgb="FFFF0000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ndense val="0"/>
        <extend val="0"/>
        <color indexed="8"/>
      </font>
      <fill>
        <patternFill>
          <bgColor indexed="11"/>
        </patternFill>
      </fill>
    </dxf>
    <dxf>
      <font>
        <condense val="0"/>
        <extend val="0"/>
        <color indexed="10"/>
      </font>
      <fill>
        <patternFill>
          <bgColor indexed="52"/>
        </patternFill>
      </fill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ndense val="0"/>
        <extend val="0"/>
        <color indexed="8"/>
      </font>
      <fill>
        <patternFill>
          <bgColor indexed="11"/>
        </patternFill>
      </fill>
    </dxf>
    <dxf>
      <font>
        <condense val="0"/>
        <extend val="0"/>
        <color indexed="10"/>
      </font>
      <fill>
        <patternFill>
          <bgColor indexed="5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71437</xdr:colOff>
      <xdr:row>1</xdr:row>
      <xdr:rowOff>11906</xdr:rowOff>
    </xdr:from>
    <xdr:to>
      <xdr:col>15</xdr:col>
      <xdr:colOff>35725</xdr:colOff>
      <xdr:row>3</xdr:row>
      <xdr:rowOff>178593</xdr:rowOff>
    </xdr:to>
    <xdr:pic macro="[0]!cierre"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468" t="11496" r="12844" b="17241"/>
        <a:stretch/>
      </xdr:blipFill>
      <xdr:spPr>
        <a:xfrm>
          <a:off x="17002125" y="202406"/>
          <a:ext cx="1571631" cy="1143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ventario%20pelicul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bre utilizacion"/>
      <sheetName val="Migo"/>
      <sheetName val="Informe Dia"/>
      <sheetName val="Inv. peliculas"/>
      <sheetName val="STK"/>
      <sheetName val="PICKING"/>
      <sheetName val="Hoja1"/>
      <sheetName val="Horas Extras"/>
      <sheetName val="Inv. Humos Sem 14"/>
      <sheetName val="Inv. Humos Sem 05"/>
      <sheetName val="Inv. Humos Sem "/>
      <sheetName val="Inv. Humos Sem 08"/>
    </sheetNames>
    <sheetDataSet>
      <sheetData sheetId="0"/>
      <sheetData sheetId="1"/>
      <sheetData sheetId="2">
        <row r="102">
          <cell r="B102">
            <v>8029543</v>
          </cell>
          <cell r="L102">
            <v>2000</v>
          </cell>
        </row>
        <row r="103">
          <cell r="B103">
            <v>8032993</v>
          </cell>
          <cell r="L103">
            <v>2000</v>
          </cell>
        </row>
        <row r="104">
          <cell r="B104">
            <v>8042947</v>
          </cell>
          <cell r="L104">
            <v>2000</v>
          </cell>
        </row>
        <row r="105">
          <cell r="B105">
            <v>8040739</v>
          </cell>
          <cell r="L105">
            <v>2000</v>
          </cell>
        </row>
        <row r="106">
          <cell r="B106">
            <v>8040740</v>
          </cell>
          <cell r="L106">
            <v>2000</v>
          </cell>
        </row>
        <row r="107">
          <cell r="B107">
            <v>8039821</v>
          </cell>
          <cell r="L107">
            <v>3000</v>
          </cell>
        </row>
        <row r="108">
          <cell r="L108">
            <v>2000</v>
          </cell>
        </row>
        <row r="109">
          <cell r="L109">
            <v>1000</v>
          </cell>
        </row>
        <row r="110">
          <cell r="B110">
            <v>8042767</v>
          </cell>
          <cell r="L110">
            <v>2000</v>
          </cell>
        </row>
        <row r="111">
          <cell r="B111">
            <v>8043064</v>
          </cell>
          <cell r="L111">
            <v>2000</v>
          </cell>
        </row>
        <row r="112">
          <cell r="B112">
            <v>8043535</v>
          </cell>
          <cell r="L112">
            <v>2000</v>
          </cell>
        </row>
        <row r="113">
          <cell r="B113">
            <v>8040551</v>
          </cell>
          <cell r="L113">
            <v>3000</v>
          </cell>
        </row>
        <row r="114">
          <cell r="B114">
            <v>8040552</v>
          </cell>
          <cell r="L114">
            <v>2000</v>
          </cell>
        </row>
        <row r="115">
          <cell r="B115">
            <v>8044205</v>
          </cell>
          <cell r="L115" t="e">
            <v>#N/A</v>
          </cell>
        </row>
        <row r="116">
          <cell r="B116">
            <v>8032595</v>
          </cell>
          <cell r="L116">
            <v>1000</v>
          </cell>
        </row>
        <row r="117">
          <cell r="B117">
            <v>8030428</v>
          </cell>
          <cell r="L117">
            <v>2000</v>
          </cell>
        </row>
        <row r="118">
          <cell r="B118">
            <v>8042711</v>
          </cell>
          <cell r="L118">
            <v>2000</v>
          </cell>
        </row>
        <row r="119">
          <cell r="B119">
            <v>8047694</v>
          </cell>
          <cell r="L119">
            <v>2000</v>
          </cell>
        </row>
        <row r="120">
          <cell r="B120">
            <v>8047695</v>
          </cell>
          <cell r="L120">
            <v>2000</v>
          </cell>
        </row>
        <row r="121">
          <cell r="B121">
            <v>8040384</v>
          </cell>
          <cell r="L121">
            <v>2000</v>
          </cell>
        </row>
        <row r="122">
          <cell r="B122">
            <v>8048676</v>
          </cell>
          <cell r="L122">
            <v>2000</v>
          </cell>
        </row>
        <row r="123">
          <cell r="B123">
            <v>8044820</v>
          </cell>
          <cell r="L123">
            <v>3000</v>
          </cell>
        </row>
        <row r="124">
          <cell r="B124">
            <v>8043534</v>
          </cell>
          <cell r="L124">
            <v>2000</v>
          </cell>
        </row>
      </sheetData>
      <sheetData sheetId="3">
        <row r="6">
          <cell r="B6" t="str">
            <v>CODIGO</v>
          </cell>
          <cell r="C6" t="str">
            <v>TEXTO</v>
          </cell>
        </row>
        <row r="7">
          <cell r="B7">
            <v>8000916</v>
          </cell>
          <cell r="C7" t="str">
            <v>PELI. superior cryovac x 407 x 25</v>
          </cell>
        </row>
        <row r="8">
          <cell r="B8">
            <v>8000829</v>
          </cell>
          <cell r="C8" t="str">
            <v>PELI. inferior cryovac x 432 x 35</v>
          </cell>
        </row>
        <row r="9">
          <cell r="B9">
            <v>8000832</v>
          </cell>
          <cell r="C9" t="str">
            <v>PELI. inferior cryovac x 432 x 50</v>
          </cell>
        </row>
        <row r="10">
          <cell r="B10">
            <v>8012552</v>
          </cell>
          <cell r="C10" t="str">
            <v>PEL Inferior Cryovac x434x60</v>
          </cell>
        </row>
        <row r="11">
          <cell r="B11">
            <v>8025777</v>
          </cell>
          <cell r="C11" t="str">
            <v>PELI. Inf. Winpak 434 x 3.0 ALICO</v>
          </cell>
        </row>
        <row r="12">
          <cell r="B12">
            <v>8019450</v>
          </cell>
          <cell r="C12" t="str">
            <v>PELI. Inf. Winpak 434 x 3.5  ALICO</v>
          </cell>
        </row>
        <row r="13">
          <cell r="B13">
            <v>8025703</v>
          </cell>
          <cell r="C13" t="str">
            <v xml:space="preserve">PELI. Inf. Winpak 434 x 5.0  ALICO </v>
          </cell>
        </row>
        <row r="14">
          <cell r="B14">
            <v>8019568</v>
          </cell>
          <cell r="C14" t="str">
            <v>PELI. Inf. Winpak 434 x 60 ALICO</v>
          </cell>
        </row>
        <row r="15">
          <cell r="B15">
            <v>8024277</v>
          </cell>
          <cell r="C15" t="str">
            <v>PELI. Salch. Rica 50 g WP 497x25</v>
          </cell>
        </row>
        <row r="16">
          <cell r="B16">
            <v>8000839</v>
          </cell>
        </row>
        <row r="17">
          <cell r="B17">
            <v>8000840</v>
          </cell>
          <cell r="C17" t="str">
            <v>Pel inferior sudpack x 432 x 30</v>
          </cell>
        </row>
        <row r="18">
          <cell r="B18">
            <v>8024278</v>
          </cell>
          <cell r="C18" t="str">
            <v>PELI. Salch. Rica 230 g WP 497x25</v>
          </cell>
        </row>
        <row r="19">
          <cell r="B19">
            <v>8022770</v>
          </cell>
          <cell r="C19" t="str">
            <v>PELI. Salch. Rica 500 g WP 497x25</v>
          </cell>
        </row>
        <row r="20">
          <cell r="B20">
            <v>8000905</v>
          </cell>
          <cell r="C20" t="str">
            <v>Pel scha 6x3 rchera 62.5g Bog 407x25</v>
          </cell>
        </row>
        <row r="21">
          <cell r="B21">
            <v>8024351</v>
          </cell>
          <cell r="C21" t="str">
            <v>PELI. Salch. Ideal 611 g WP 497x25</v>
          </cell>
        </row>
        <row r="22">
          <cell r="B22">
            <v>8048668</v>
          </cell>
          <cell r="C22" t="str">
            <v>PELI. Salch. Llanera Rica 500 g 407x1.8</v>
          </cell>
        </row>
        <row r="23">
          <cell r="B23">
            <v>8029494</v>
          </cell>
          <cell r="C23" t="str">
            <v>PELI. Schon cvro taj ZENU x 50g x 407 x 25</v>
          </cell>
        </row>
        <row r="24">
          <cell r="B24">
            <v>8044206</v>
          </cell>
          <cell r="C24" t="str">
            <v>PELI Schon cvro taj zenu x 60g x 407 x 2</v>
          </cell>
        </row>
        <row r="25">
          <cell r="B25">
            <v>8038477</v>
          </cell>
          <cell r="C25" t="str">
            <v>PELI. Schon cvro taj ZENU x100g x 407 x 2</v>
          </cell>
        </row>
        <row r="26">
          <cell r="B26">
            <v>8000919</v>
          </cell>
          <cell r="C26" t="str">
            <v>PEL Sup Sudpack x407x25</v>
          </cell>
        </row>
        <row r="27">
          <cell r="B27">
            <v>8000878</v>
          </cell>
          <cell r="C27" t="str">
            <v>PELI. Salch. ahumada cunit  x 250 g</v>
          </cell>
        </row>
        <row r="28">
          <cell r="B28">
            <v>8022651</v>
          </cell>
          <cell r="C28" t="str">
            <v xml:space="preserve"> PELI. Inf. Winpack 522x50</v>
          </cell>
        </row>
        <row r="29">
          <cell r="B29">
            <v>8007128</v>
          </cell>
          <cell r="C29" t="str">
            <v>Pel. Superior S/I Cryovac 503x2.5</v>
          </cell>
        </row>
        <row r="30">
          <cell r="B30">
            <v>8007629</v>
          </cell>
          <cell r="C30" t="str">
            <v>PEL Inferior Calibre 7,8 Sp 432</v>
          </cell>
        </row>
        <row r="31">
          <cell r="B31">
            <v>8010773</v>
          </cell>
          <cell r="C31" t="str">
            <v>Pel.Salch.RANCHERApentapack 875 grt.175g</v>
          </cell>
        </row>
        <row r="32">
          <cell r="B32">
            <v>8000860</v>
          </cell>
          <cell r="C32" t="str">
            <v>PELI..Salch. manguera cunit  x 1 kg</v>
          </cell>
        </row>
        <row r="33">
          <cell r="B33">
            <v>8039823</v>
          </cell>
          <cell r="C33" t="str">
            <v>PELI. Salch.Perr.Cazdra Cunit 1080g</v>
          </cell>
        </row>
        <row r="34">
          <cell r="B34">
            <v>8039824</v>
          </cell>
          <cell r="C34" t="str">
            <v>PEL.Salch.Perr.Llanera Rica 1080g 407x25</v>
          </cell>
        </row>
        <row r="35">
          <cell r="B35">
            <v>8028091</v>
          </cell>
          <cell r="C35" t="str">
            <v>PELI. Salch. Perro Clnte. 240g 503x25</v>
          </cell>
        </row>
        <row r="36">
          <cell r="B36">
            <v>8028073</v>
          </cell>
          <cell r="C36" t="str">
            <v>PELI. Scha. Pollo Zenú 250 g x 407 x 25</v>
          </cell>
        </row>
        <row r="37">
          <cell r="B37">
            <v>8026628</v>
          </cell>
          <cell r="C37" t="str">
            <v>PELI. Salch. Pollo Pietran 350g</v>
          </cell>
        </row>
        <row r="38">
          <cell r="B38">
            <v>8028089</v>
          </cell>
          <cell r="C38" t="str">
            <v>PELI. Salch. POP 1 Kg WP 497x25</v>
          </cell>
        </row>
        <row r="39">
          <cell r="B39">
            <v>8046832</v>
          </cell>
          <cell r="C39" t="str">
            <v>Pel. Imp. Scha Big Pollo 1000g 1,8 Mils azul</v>
          </cell>
        </row>
        <row r="40">
          <cell r="B40">
            <v>8024352</v>
          </cell>
          <cell r="C40" t="str">
            <v>PELI. Inf. Winpack 432x50 CUNIT</v>
          </cell>
        </row>
        <row r="41">
          <cell r="B41">
            <v>8049578</v>
          </cell>
          <cell r="C41" t="str">
            <v>PELI. Sup. Imp.  Salch. Big Res 1000g Amarilla</v>
          </cell>
        </row>
        <row r="42">
          <cell r="B42">
            <v>8048671</v>
          </cell>
          <cell r="C42" t="str">
            <v>PELI. Salch. King Dog 400 g 407x2.0</v>
          </cell>
        </row>
        <row r="43">
          <cell r="B43">
            <v>8027225</v>
          </cell>
          <cell r="C43" t="str">
            <v>Pel. Sup. Imp Cervecero Ranchera 416gr</v>
          </cell>
        </row>
        <row r="44">
          <cell r="B44">
            <v>8027227</v>
          </cell>
          <cell r="C44" t="str">
            <v>Pel. Sup. Imp Cervecero Ranchera 240gr</v>
          </cell>
        </row>
        <row r="45">
          <cell r="B45">
            <v>8001056</v>
          </cell>
          <cell r="C45" t="str">
            <v>PELI. Superior sudpack x 503 x 25</v>
          </cell>
        </row>
        <row r="46">
          <cell r="B46">
            <v>8028074</v>
          </cell>
          <cell r="C46" t="str">
            <v xml:space="preserve">Pel. Sup.Imp.Tradicional Bipack  84g </v>
          </cell>
        </row>
        <row r="47">
          <cell r="B47">
            <v>8019356</v>
          </cell>
          <cell r="C47" t="str">
            <v>PELI. Inf. Sudpack x 522 x 35</v>
          </cell>
        </row>
        <row r="48">
          <cell r="B48">
            <v>8001093</v>
          </cell>
          <cell r="C48" t="str">
            <v>PEL Inferior Sudpack x522x40</v>
          </cell>
        </row>
        <row r="49">
          <cell r="B49">
            <v>8000842</v>
          </cell>
          <cell r="C49" t="str">
            <v>PELI. Inferior Sudpack x522x50</v>
          </cell>
        </row>
        <row r="50">
          <cell r="B50">
            <v>8027318</v>
          </cell>
          <cell r="C50" t="str">
            <v>Peli. inferior sudpack x 522 X 60</v>
          </cell>
        </row>
        <row r="51">
          <cell r="B51">
            <v>8041350</v>
          </cell>
          <cell r="C51" t="str">
            <v>PEL. Superior Cryovac  503 x 25</v>
          </cell>
        </row>
        <row r="52">
          <cell r="B52">
            <v>8000827</v>
          </cell>
          <cell r="C52" t="str">
            <v>PELI. Inferior cryovac x 522 x 35</v>
          </cell>
        </row>
        <row r="53">
          <cell r="B53">
            <v>8001054</v>
          </cell>
          <cell r="C53" t="str">
            <v>PELI. Inf. Cryovacx 522 X 50</v>
          </cell>
        </row>
        <row r="54">
          <cell r="B54">
            <v>8039553</v>
          </cell>
          <cell r="C54" t="str">
            <v>PEL Inferior Cryovac x 522 x 60</v>
          </cell>
        </row>
        <row r="55">
          <cell r="B55">
            <v>8028081</v>
          </cell>
          <cell r="C55" t="str">
            <v>PELI. Salch. Perro Clnte. Bid x 480gx503x25</v>
          </cell>
        </row>
        <row r="56">
          <cell r="B56">
            <v>8028928</v>
          </cell>
          <cell r="C56" t="str">
            <v>PELI. Salch. Cunit 684 g WP 407x25</v>
          </cell>
        </row>
        <row r="57">
          <cell r="B57">
            <v>8028086</v>
          </cell>
          <cell r="C57" t="str">
            <v>PELI. Salch. Perro Clnte. 720 g 503x25</v>
          </cell>
        </row>
        <row r="58">
          <cell r="B58">
            <v>8028164</v>
          </cell>
          <cell r="C58" t="str">
            <v>PELI. Salch. Rica 684g 407x25</v>
          </cell>
        </row>
        <row r="59">
          <cell r="B59">
            <v>8028929</v>
          </cell>
          <cell r="C59" t="str">
            <v xml:space="preserve">PELI. Salch. Perro Clnte. 800  g WP 497x25 </v>
          </cell>
        </row>
        <row r="60">
          <cell r="B60">
            <v>8028085</v>
          </cell>
          <cell r="C60" t="str">
            <v>PELI. Salch. Super Perro 160   g 503x25</v>
          </cell>
        </row>
        <row r="61">
          <cell r="B61">
            <v>8028082</v>
          </cell>
          <cell r="C61" t="str">
            <v>PELI. Salch. Super Perro 640   g 503x25</v>
          </cell>
        </row>
        <row r="62">
          <cell r="B62">
            <v>8039243</v>
          </cell>
          <cell r="C62" t="str">
            <v>Peli. Salch. Perro Caliente Cunit 3x500g</v>
          </cell>
        </row>
        <row r="63">
          <cell r="B63">
            <v>8028084</v>
          </cell>
          <cell r="C63" t="str">
            <v>PELI. Salch. Super Perro 1280 g 503x25</v>
          </cell>
        </row>
        <row r="64">
          <cell r="B64">
            <v>8029980</v>
          </cell>
          <cell r="C64" t="str">
            <v>PELI. Cerveroni 40 g 430 mm</v>
          </cell>
        </row>
        <row r="65">
          <cell r="B65">
            <v>8032945</v>
          </cell>
          <cell r="C65" t="str">
            <v>Peli. Salch. Ran Chimichurri 450g 503x25</v>
          </cell>
        </row>
        <row r="66">
          <cell r="B66">
            <v>8032946</v>
          </cell>
          <cell r="C66" t="str">
            <v>Peli. Salch.Ran Chimichurri 1350g 503x25</v>
          </cell>
        </row>
        <row r="67">
          <cell r="B67">
            <v>8032943</v>
          </cell>
          <cell r="C67" t="str">
            <v>Peli. Salch. Ran Chimichurri 342g 503x25</v>
          </cell>
        </row>
        <row r="68">
          <cell r="B68">
            <v>8036539</v>
          </cell>
          <cell r="C68" t="str">
            <v>Peli. Salch. Ran Picante 342g 503x25</v>
          </cell>
        </row>
        <row r="69">
          <cell r="B69">
            <v>8037326</v>
          </cell>
          <cell r="C69" t="str">
            <v>Peli. Salch. Ranchera Picante75g 501x24</v>
          </cell>
        </row>
        <row r="70">
          <cell r="B70">
            <v>8029499</v>
          </cell>
          <cell r="C70" t="str">
            <v>PELI. Salch. Super Perro 1440 g 502x25</v>
          </cell>
        </row>
        <row r="71">
          <cell r="B71">
            <v>8028078</v>
          </cell>
          <cell r="C71" t="str">
            <v>PELI. Salch. Trad. Zenu 450 g 497x25</v>
          </cell>
        </row>
        <row r="72">
          <cell r="B72">
            <v>8028079</v>
          </cell>
          <cell r="C72" t="str">
            <v>PELI. Salch. Trad. Zenu 225g 503x25</v>
          </cell>
        </row>
        <row r="73">
          <cell r="B73">
            <v>8040549</v>
          </cell>
          <cell r="C73" t="str">
            <v>PELI. Salch. Long 1.1 Kg 407x25</v>
          </cell>
        </row>
        <row r="74">
          <cell r="B74">
            <v>8028088</v>
          </cell>
          <cell r="C74" t="str">
            <v>PELI. Salch. Long 2.2 Kg 503x25</v>
          </cell>
        </row>
        <row r="75">
          <cell r="B75">
            <v>8039830</v>
          </cell>
          <cell r="C75" t="str">
            <v>PELI. Salch. Tradic 170g 503x25</v>
          </cell>
        </row>
        <row r="76">
          <cell r="B76">
            <v>8039828</v>
          </cell>
          <cell r="C76" t="str">
            <v>PELI. Salch. Tradic 408g Prec Sug 503x25</v>
          </cell>
        </row>
        <row r="77">
          <cell r="B77">
            <v>8034705</v>
          </cell>
          <cell r="C77" t="str">
            <v>PEL.Salch.Sp.Perro con queso.720g 503x25</v>
          </cell>
        </row>
        <row r="78">
          <cell r="B78">
            <v>8044207</v>
          </cell>
          <cell r="C78" t="str">
            <v>PELI Salch. Perro Qso Tripack 120 503x25</v>
          </cell>
        </row>
        <row r="79">
          <cell r="B79">
            <v>8034703</v>
          </cell>
          <cell r="C79" t="str">
            <v>PEL.Salch.Perro con queso.320g 503x25</v>
          </cell>
        </row>
        <row r="80">
          <cell r="B80">
            <v>8040738</v>
          </cell>
          <cell r="C80" t="str">
            <v>PELI. Salch. Big XL 503x25</v>
          </cell>
        </row>
        <row r="81">
          <cell r="B81">
            <v>8039831</v>
          </cell>
          <cell r="C81" t="str">
            <v>PELI. Salch.RANCH Pent. Ed.Desay 503X25</v>
          </cell>
        </row>
        <row r="82">
          <cell r="B82">
            <v>8040737</v>
          </cell>
          <cell r="C82" t="str">
            <v>PELI. Salch. Cunit XL 503x25</v>
          </cell>
        </row>
        <row r="83">
          <cell r="B83">
            <v>8030944</v>
          </cell>
          <cell r="C83" t="str">
            <v>Pel. Salch. Ranc Tripack x75g 503x25 NT</v>
          </cell>
        </row>
        <row r="84">
          <cell r="B84">
            <v>8040605</v>
          </cell>
          <cell r="C84" t="str">
            <v>Peli. Salch. Ran Picante 272g 503x25</v>
          </cell>
        </row>
        <row r="85">
          <cell r="B85">
            <v>8040603</v>
          </cell>
          <cell r="C85" t="str">
            <v>Peli. Salch. Ran Chimichurri 272g 503x25</v>
          </cell>
        </row>
        <row r="86">
          <cell r="B86">
            <v>8042003</v>
          </cell>
          <cell r="C86" t="str">
            <v>PELI. Salch. 7x3 ranchera x125g Bog 503x25(penta)</v>
          </cell>
        </row>
        <row r="87">
          <cell r="B87">
            <v>8046839</v>
          </cell>
          <cell r="C87" t="str">
            <v>PELI. Salch.RANCH + Cafe 503 X 25</v>
          </cell>
        </row>
        <row r="88">
          <cell r="B88">
            <v>8048296</v>
          </cell>
          <cell r="C88" t="str">
            <v>PELI. Imp. Chorich Tripack Cunit 500g Nueva</v>
          </cell>
        </row>
        <row r="89">
          <cell r="B89">
            <v>8036083</v>
          </cell>
          <cell r="C89" t="str">
            <v>PELI.Imp.Chrz.Rica Tripack 495g</v>
          </cell>
        </row>
        <row r="90">
          <cell r="B90">
            <v>8031295</v>
          </cell>
          <cell r="C90" t="str">
            <v>PELI. Imp. Chrz. RICA 1000g</v>
          </cell>
        </row>
        <row r="91">
          <cell r="B91">
            <v>8046823</v>
          </cell>
          <cell r="C91" t="str">
            <v xml:space="preserve"> ELI. Imp. Chrz. Ternera x 470g 2 Mils</v>
          </cell>
        </row>
        <row r="92">
          <cell r="B92">
            <v>8048298</v>
          </cell>
          <cell r="C92" t="str">
            <v>PELI. Imp. Chrz. CUNIT 1000g Nueva</v>
          </cell>
        </row>
        <row r="93">
          <cell r="B93">
            <v>8048302</v>
          </cell>
          <cell r="C93" t="str">
            <v>PELI. Imp. Chrz. CUNIT 400g NV</v>
          </cell>
        </row>
        <row r="94">
          <cell r="B94">
            <v>8038717</v>
          </cell>
          <cell r="C94" t="str">
            <v>PELI. Imp. Chrz. RICA 400g Nueva</v>
          </cell>
        </row>
        <row r="95">
          <cell r="B95">
            <v>8000841</v>
          </cell>
          <cell r="C95" t="str">
            <v>Pel inferior sudpack x 432 x 50</v>
          </cell>
        </row>
        <row r="96">
          <cell r="B96">
            <v>8038476</v>
          </cell>
          <cell r="C96" t="str">
            <v>Pel inferior Winpack x 432 x 5 N.COEF</v>
          </cell>
        </row>
        <row r="97">
          <cell r="B97">
            <v>8048670</v>
          </cell>
          <cell r="C97" t="str">
            <v>PELI. Salch. King Dog 480 g 503x2.0</v>
          </cell>
        </row>
        <row r="98">
          <cell r="B98" t="str">
            <v>CODIGO</v>
          </cell>
          <cell r="C98" t="str">
            <v>TEXTO</v>
          </cell>
        </row>
        <row r="100">
          <cell r="B100">
            <v>8031663</v>
          </cell>
          <cell r="C100" t="str">
            <v>PELI. Inf. Winpack 522x40</v>
          </cell>
        </row>
        <row r="101">
          <cell r="B101">
            <v>8034703</v>
          </cell>
          <cell r="C101" t="str">
            <v>PEL.Salch.Perro con queso.320g 503x25</v>
          </cell>
        </row>
        <row r="102">
          <cell r="B102">
            <v>8034704</v>
          </cell>
          <cell r="C102" t="str">
            <v>PEL.Salch.Perro con queso.80g 503x25</v>
          </cell>
        </row>
        <row r="103">
          <cell r="B103">
            <v>8033661</v>
          </cell>
          <cell r="C103" t="str">
            <v>Peli. Salch. Ran Miel 171g 503 (5und)</v>
          </cell>
        </row>
        <row r="104">
          <cell r="B104">
            <v>8033660</v>
          </cell>
          <cell r="C104" t="str">
            <v>Peli. Salch. Ran Queso 171g 503 (5und)</v>
          </cell>
        </row>
        <row r="105">
          <cell r="B105">
            <v>8033659</v>
          </cell>
          <cell r="C105" t="str">
            <v>Peli. Salch. Ran Chimichurri 171g(5und)</v>
          </cell>
        </row>
        <row r="106">
          <cell r="B106">
            <v>8033662</v>
          </cell>
          <cell r="C106" t="str">
            <v>Peli. Salch. Ran Queso Mundial 75g(3und)</v>
          </cell>
        </row>
        <row r="107">
          <cell r="B107">
            <v>8033663</v>
          </cell>
          <cell r="C107" t="str">
            <v>Peli. Salch. Ran Queso 1350g (18und)</v>
          </cell>
        </row>
        <row r="108">
          <cell r="B108">
            <v>8040604</v>
          </cell>
          <cell r="C108" t="str">
            <v>Peli. Salch. Ranchera Qso. 272g 503x25</v>
          </cell>
        </row>
        <row r="142">
          <cell r="B142">
            <v>8030417</v>
          </cell>
        </row>
        <row r="143">
          <cell r="B143">
            <v>8030417</v>
          </cell>
        </row>
        <row r="144">
          <cell r="B144">
            <v>8029543</v>
          </cell>
        </row>
        <row r="145">
          <cell r="B145">
            <v>8032993</v>
          </cell>
        </row>
        <row r="146">
          <cell r="B146">
            <v>8042947</v>
          </cell>
        </row>
        <row r="147">
          <cell r="B147">
            <v>8040739</v>
          </cell>
        </row>
        <row r="148">
          <cell r="B148">
            <v>8040740</v>
          </cell>
        </row>
        <row r="149">
          <cell r="B149">
            <v>8039821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8042767</v>
          </cell>
        </row>
        <row r="153">
          <cell r="B153">
            <v>8043064</v>
          </cell>
        </row>
        <row r="154">
          <cell r="B154">
            <v>8043535</v>
          </cell>
        </row>
        <row r="155">
          <cell r="B155">
            <v>8040551</v>
          </cell>
        </row>
        <row r="156">
          <cell r="B156">
            <v>8040552</v>
          </cell>
        </row>
        <row r="157">
          <cell r="B157">
            <v>8044205</v>
          </cell>
        </row>
        <row r="158">
          <cell r="B158">
            <v>8032595</v>
          </cell>
        </row>
        <row r="159">
          <cell r="B159">
            <v>8030428</v>
          </cell>
        </row>
        <row r="160">
          <cell r="B160">
            <v>8042711</v>
          </cell>
        </row>
        <row r="161">
          <cell r="B161">
            <v>8047694</v>
          </cell>
        </row>
        <row r="162">
          <cell r="B162">
            <v>8047695</v>
          </cell>
        </row>
        <row r="163">
          <cell r="B163">
            <v>8040384</v>
          </cell>
        </row>
        <row r="164">
          <cell r="B164">
            <v>8048676</v>
          </cell>
        </row>
        <row r="165">
          <cell r="B165">
            <v>8044820</v>
          </cell>
        </row>
        <row r="166">
          <cell r="B166">
            <v>8043534</v>
          </cell>
        </row>
        <row r="167">
          <cell r="B167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name="DatosExternos_1" connectionId="1" autoFormatId="0" applyNumberFormats="0" applyBorderFormats="0" applyFontFormats="1" applyPatternFormats="1" applyAlignmentFormats="0" applyWidthHeightFormats="0">
  <queryTableRefresh preserveSortFilterLayout="0" nextId="8" unboundColumnsRight="2">
    <queryTableFields count="7">
      <queryTableField id="1" name="Material" tableColumnId="8"/>
      <queryTableField id="2" name="Alm." tableColumnId="9"/>
      <queryTableField id="3" name="Texto breve de material" tableColumnId="10"/>
      <queryTableField id="4" name=" Libre utilización" tableColumnId="11"/>
      <queryTableField id="5" name="UMB" tableColumnId="12"/>
      <queryTableField id="7" dataBound="0" tableColumnId="13"/>
      <queryTableField id="6" dataBound="0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MB52__2" displayName="MB52__2" ref="C5:I1330" tableType="queryTable" totalsRowShown="0">
  <autoFilter ref="C5:I1330"/>
  <tableColumns count="7">
    <tableColumn id="8" uniqueName="8" name="Material" queryTableFieldId="1" dataDxfId="53"/>
    <tableColumn id="9" uniqueName="9" name="Alm." queryTableFieldId="2" dataDxfId="52"/>
    <tableColumn id="10" uniqueName="10" name="Texto breve de material" queryTableFieldId="3" dataDxfId="51"/>
    <tableColumn id="11" uniqueName="11" name=" Libre utilización" queryTableFieldId="4" dataDxfId="50"/>
    <tableColumn id="12" uniqueName="12" name="UMB" queryTableFieldId="5" dataDxfId="49"/>
    <tableColumn id="13" uniqueName="13" name="Columna1" queryTableFieldId="7" dataDxfId="48"/>
    <tableColumn id="14" uniqueName="14" name="Columna2" queryTableFieldId="6" dataDxfId="4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C5:I1330"/>
  <sheetViews>
    <sheetView topLeftCell="A996" workbookViewId="0">
      <selection activeCell="F1014" sqref="F1014"/>
    </sheetView>
  </sheetViews>
  <sheetFormatPr baseColWidth="10" defaultRowHeight="15" x14ac:dyDescent="0.25"/>
  <cols>
    <col min="3" max="3" width="10.85546875" bestFit="1" customWidth="1"/>
    <col min="4" max="4" width="7.42578125" bestFit="1" customWidth="1"/>
    <col min="5" max="5" width="43.7109375" bestFit="1" customWidth="1"/>
    <col min="6" max="6" width="17.7109375" bestFit="1" customWidth="1"/>
    <col min="7" max="7" width="7.7109375" bestFit="1" customWidth="1"/>
    <col min="8" max="9" width="12.140625" bestFit="1" customWidth="1"/>
  </cols>
  <sheetData>
    <row r="5" spans="3:9" x14ac:dyDescent="0.25"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0</v>
      </c>
      <c r="I5" s="1" t="s">
        <v>1</v>
      </c>
    </row>
    <row r="6" spans="3:9" x14ac:dyDescent="0.25">
      <c r="C6" s="1">
        <v>1000081</v>
      </c>
      <c r="D6" s="1">
        <v>1531</v>
      </c>
      <c r="E6" s="1" t="s">
        <v>7</v>
      </c>
      <c r="F6" s="1">
        <v>0</v>
      </c>
      <c r="G6" s="1" t="s">
        <v>8</v>
      </c>
      <c r="H6" s="1"/>
      <c r="I6" s="1"/>
    </row>
    <row r="7" spans="3:9" x14ac:dyDescent="0.25">
      <c r="C7" s="1">
        <v>1011100</v>
      </c>
      <c r="D7" s="1">
        <v>1531</v>
      </c>
      <c r="E7" s="1" t="s">
        <v>9</v>
      </c>
      <c r="F7" s="1">
        <v>0</v>
      </c>
      <c r="G7" s="1" t="s">
        <v>8</v>
      </c>
      <c r="H7" s="1"/>
      <c r="I7" s="1"/>
    </row>
    <row r="8" spans="3:9" x14ac:dyDescent="0.25">
      <c r="C8" s="1">
        <v>1011101</v>
      </c>
      <c r="D8" s="1">
        <v>1531</v>
      </c>
      <c r="E8" s="1" t="s">
        <v>10</v>
      </c>
      <c r="F8" s="1">
        <v>0</v>
      </c>
      <c r="G8" s="1" t="s">
        <v>8</v>
      </c>
      <c r="H8" s="1"/>
      <c r="I8" s="1"/>
    </row>
    <row r="9" spans="3:9" x14ac:dyDescent="0.25">
      <c r="C9" s="1">
        <v>1011102</v>
      </c>
      <c r="D9" s="1">
        <v>1531</v>
      </c>
      <c r="E9" s="1" t="s">
        <v>11</v>
      </c>
      <c r="F9" s="1">
        <v>0</v>
      </c>
      <c r="G9" s="1" t="s">
        <v>8</v>
      </c>
      <c r="H9" s="1"/>
      <c r="I9" s="1"/>
    </row>
    <row r="10" spans="3:9" x14ac:dyDescent="0.25">
      <c r="C10" s="1">
        <v>3001236</v>
      </c>
      <c r="D10" s="1">
        <v>1531</v>
      </c>
      <c r="E10" s="1" t="s">
        <v>12</v>
      </c>
      <c r="F10" s="1">
        <v>0</v>
      </c>
      <c r="G10" s="1" t="s">
        <v>13</v>
      </c>
      <c r="H10" s="1"/>
      <c r="I10" s="1"/>
    </row>
    <row r="11" spans="3:9" x14ac:dyDescent="0.25">
      <c r="C11" s="1">
        <v>7000004</v>
      </c>
      <c r="D11" s="1">
        <v>1531</v>
      </c>
      <c r="E11" s="1" t="s">
        <v>14</v>
      </c>
      <c r="F11" s="1">
        <v>0</v>
      </c>
      <c r="G11" s="1" t="s">
        <v>13</v>
      </c>
      <c r="H11" s="1"/>
      <c r="I11" s="1"/>
    </row>
    <row r="12" spans="3:9" x14ac:dyDescent="0.25">
      <c r="C12" s="1">
        <v>7000006</v>
      </c>
      <c r="D12" s="1">
        <v>1531</v>
      </c>
      <c r="E12" s="1" t="s">
        <v>15</v>
      </c>
      <c r="F12" s="1">
        <v>0</v>
      </c>
      <c r="G12" s="1" t="s">
        <v>13</v>
      </c>
      <c r="H12" s="1"/>
      <c r="I12" s="1"/>
    </row>
    <row r="13" spans="3:9" x14ac:dyDescent="0.25">
      <c r="C13" s="1">
        <v>7000007</v>
      </c>
      <c r="D13" s="1">
        <v>1531</v>
      </c>
      <c r="E13" s="1" t="s">
        <v>16</v>
      </c>
      <c r="F13" s="1">
        <v>0</v>
      </c>
      <c r="G13" s="1" t="s">
        <v>13</v>
      </c>
      <c r="H13" s="1"/>
      <c r="I13" s="1"/>
    </row>
    <row r="14" spans="3:9" x14ac:dyDescent="0.25">
      <c r="C14" s="1">
        <v>7000011</v>
      </c>
      <c r="D14" s="1">
        <v>1531</v>
      </c>
      <c r="E14" s="1" t="s">
        <v>17</v>
      </c>
      <c r="F14" s="1">
        <v>0</v>
      </c>
      <c r="G14" s="1" t="s">
        <v>13</v>
      </c>
      <c r="H14" s="1"/>
      <c r="I14" s="1"/>
    </row>
    <row r="15" spans="3:9" x14ac:dyDescent="0.25">
      <c r="C15" s="1">
        <v>7000012</v>
      </c>
      <c r="D15" s="1">
        <v>1531</v>
      </c>
      <c r="E15" s="1" t="s">
        <v>18</v>
      </c>
      <c r="F15" s="1">
        <v>0</v>
      </c>
      <c r="G15" s="1" t="s">
        <v>13</v>
      </c>
      <c r="H15" s="1"/>
      <c r="I15" s="1"/>
    </row>
    <row r="16" spans="3:9" x14ac:dyDescent="0.25">
      <c r="C16" s="1">
        <v>7000013</v>
      </c>
      <c r="D16" s="1">
        <v>1531</v>
      </c>
      <c r="E16" s="1" t="s">
        <v>19</v>
      </c>
      <c r="F16" s="1">
        <v>0</v>
      </c>
      <c r="G16" s="1" t="s">
        <v>13</v>
      </c>
      <c r="H16" s="1"/>
      <c r="I16" s="1"/>
    </row>
    <row r="17" spans="3:9" x14ac:dyDescent="0.25">
      <c r="C17" s="1">
        <v>7000014</v>
      </c>
      <c r="D17" s="1">
        <v>1531</v>
      </c>
      <c r="E17" s="1" t="s">
        <v>20</v>
      </c>
      <c r="F17" s="1">
        <v>0</v>
      </c>
      <c r="G17" s="1" t="s">
        <v>13</v>
      </c>
      <c r="H17" s="1"/>
      <c r="I17" s="1"/>
    </row>
    <row r="18" spans="3:9" x14ac:dyDescent="0.25">
      <c r="C18" s="1">
        <v>7000016</v>
      </c>
      <c r="D18" s="1">
        <v>1531</v>
      </c>
      <c r="E18" s="1" t="s">
        <v>21</v>
      </c>
      <c r="F18" s="1">
        <v>0</v>
      </c>
      <c r="G18" s="1" t="s">
        <v>13</v>
      </c>
      <c r="H18" s="1"/>
      <c r="I18" s="1"/>
    </row>
    <row r="19" spans="3:9" x14ac:dyDescent="0.25">
      <c r="C19" s="1">
        <v>7000017</v>
      </c>
      <c r="D19" s="1">
        <v>1531</v>
      </c>
      <c r="E19" s="1" t="s">
        <v>22</v>
      </c>
      <c r="F19" s="1">
        <v>0</v>
      </c>
      <c r="G19" s="1" t="s">
        <v>13</v>
      </c>
      <c r="H19" s="1"/>
      <c r="I19" s="1"/>
    </row>
    <row r="20" spans="3:9" x14ac:dyDescent="0.25">
      <c r="C20" s="1">
        <v>7000024</v>
      </c>
      <c r="D20" s="1">
        <v>1531</v>
      </c>
      <c r="E20" s="1" t="s">
        <v>23</v>
      </c>
      <c r="F20" s="1">
        <v>0</v>
      </c>
      <c r="G20" s="1" t="s">
        <v>13</v>
      </c>
      <c r="H20" s="1"/>
      <c r="I20" s="1"/>
    </row>
    <row r="21" spans="3:9" x14ac:dyDescent="0.25">
      <c r="C21" s="1">
        <v>7000027</v>
      </c>
      <c r="D21" s="1">
        <v>1531</v>
      </c>
      <c r="E21" s="1" t="s">
        <v>24</v>
      </c>
      <c r="F21" s="1">
        <v>0</v>
      </c>
      <c r="G21" s="1" t="s">
        <v>13</v>
      </c>
      <c r="H21" s="1"/>
      <c r="I21" s="1"/>
    </row>
    <row r="22" spans="3:9" x14ac:dyDescent="0.25">
      <c r="C22" s="1">
        <v>7000034</v>
      </c>
      <c r="D22" s="1">
        <v>1531</v>
      </c>
      <c r="E22" s="1" t="s">
        <v>25</v>
      </c>
      <c r="F22" s="1">
        <v>0</v>
      </c>
      <c r="G22" s="1" t="s">
        <v>13</v>
      </c>
      <c r="H22" s="1"/>
      <c r="I22" s="1"/>
    </row>
    <row r="23" spans="3:9" x14ac:dyDescent="0.25">
      <c r="C23" s="1">
        <v>7000042</v>
      </c>
      <c r="D23" s="1">
        <v>1531</v>
      </c>
      <c r="E23" s="1" t="s">
        <v>26</v>
      </c>
      <c r="F23" s="1">
        <v>0</v>
      </c>
      <c r="G23" s="1" t="s">
        <v>13</v>
      </c>
      <c r="H23" s="1"/>
      <c r="I23" s="1"/>
    </row>
    <row r="24" spans="3:9" x14ac:dyDescent="0.25">
      <c r="C24" s="1">
        <v>7000048</v>
      </c>
      <c r="D24" s="1">
        <v>1531</v>
      </c>
      <c r="E24" s="1" t="s">
        <v>27</v>
      </c>
      <c r="F24" s="1">
        <v>0</v>
      </c>
      <c r="G24" s="1" t="s">
        <v>13</v>
      </c>
      <c r="H24" s="1"/>
      <c r="I24" s="1"/>
    </row>
    <row r="25" spans="3:9" x14ac:dyDescent="0.25">
      <c r="C25" s="1">
        <v>7000057</v>
      </c>
      <c r="D25" s="1">
        <v>1531</v>
      </c>
      <c r="E25" s="1" t="s">
        <v>28</v>
      </c>
      <c r="F25" s="1">
        <v>0</v>
      </c>
      <c r="G25" s="1" t="s">
        <v>13</v>
      </c>
      <c r="H25" s="1"/>
      <c r="I25" s="1"/>
    </row>
    <row r="26" spans="3:9" x14ac:dyDescent="0.25">
      <c r="C26" s="1">
        <v>7000058</v>
      </c>
      <c r="D26" s="1">
        <v>1531</v>
      </c>
      <c r="E26" s="1" t="s">
        <v>29</v>
      </c>
      <c r="F26" s="1">
        <v>0</v>
      </c>
      <c r="G26" s="1" t="s">
        <v>13</v>
      </c>
      <c r="H26" s="1"/>
      <c r="I26" s="1"/>
    </row>
    <row r="27" spans="3:9" x14ac:dyDescent="0.25">
      <c r="C27" s="1">
        <v>7000059</v>
      </c>
      <c r="D27" s="1">
        <v>1531</v>
      </c>
      <c r="E27" s="1" t="s">
        <v>30</v>
      </c>
      <c r="F27" s="1">
        <v>0</v>
      </c>
      <c r="G27" s="1" t="s">
        <v>13</v>
      </c>
      <c r="H27" s="1"/>
      <c r="I27" s="1"/>
    </row>
    <row r="28" spans="3:9" x14ac:dyDescent="0.25">
      <c r="C28" s="1">
        <v>7000063</v>
      </c>
      <c r="D28" s="1">
        <v>1531</v>
      </c>
      <c r="E28" s="1" t="s">
        <v>31</v>
      </c>
      <c r="F28" s="1">
        <v>0</v>
      </c>
      <c r="G28" s="1" t="s">
        <v>13</v>
      </c>
      <c r="H28" s="1"/>
      <c r="I28" s="1"/>
    </row>
    <row r="29" spans="3:9" x14ac:dyDescent="0.25">
      <c r="C29" s="1">
        <v>7000082</v>
      </c>
      <c r="D29" s="1">
        <v>1531</v>
      </c>
      <c r="E29" s="1" t="s">
        <v>32</v>
      </c>
      <c r="F29" s="1">
        <v>0</v>
      </c>
      <c r="G29" s="1" t="s">
        <v>13</v>
      </c>
      <c r="H29" s="1"/>
      <c r="I29" s="1"/>
    </row>
    <row r="30" spans="3:9" x14ac:dyDescent="0.25">
      <c r="C30" s="1">
        <v>7000083</v>
      </c>
      <c r="D30" s="1">
        <v>1531</v>
      </c>
      <c r="E30" s="1" t="s">
        <v>33</v>
      </c>
      <c r="F30" s="1">
        <v>0</v>
      </c>
      <c r="G30" s="1" t="s">
        <v>13</v>
      </c>
      <c r="H30" s="1"/>
      <c r="I30" s="1"/>
    </row>
    <row r="31" spans="3:9" x14ac:dyDescent="0.25">
      <c r="C31" s="1">
        <v>7000084</v>
      </c>
      <c r="D31" s="1">
        <v>1531</v>
      </c>
      <c r="E31" s="1" t="s">
        <v>34</v>
      </c>
      <c r="F31" s="1">
        <v>0</v>
      </c>
      <c r="G31" s="1" t="s">
        <v>13</v>
      </c>
      <c r="H31" s="1"/>
      <c r="I31" s="1"/>
    </row>
    <row r="32" spans="3:9" x14ac:dyDescent="0.25">
      <c r="C32" s="1">
        <v>7000086</v>
      </c>
      <c r="D32" s="1">
        <v>1531</v>
      </c>
      <c r="E32" s="1" t="s">
        <v>35</v>
      </c>
      <c r="F32" s="1">
        <v>0</v>
      </c>
      <c r="G32" s="1" t="s">
        <v>13</v>
      </c>
      <c r="H32" s="1"/>
      <c r="I32" s="1"/>
    </row>
    <row r="33" spans="3:9" x14ac:dyDescent="0.25">
      <c r="C33" s="1">
        <v>7000088</v>
      </c>
      <c r="D33" s="1">
        <v>1531</v>
      </c>
      <c r="E33" s="1" t="s">
        <v>36</v>
      </c>
      <c r="F33" s="1">
        <v>0</v>
      </c>
      <c r="G33" s="1" t="s">
        <v>13</v>
      </c>
      <c r="H33" s="1"/>
      <c r="I33" s="1"/>
    </row>
    <row r="34" spans="3:9" x14ac:dyDescent="0.25">
      <c r="C34" s="1">
        <v>7000093</v>
      </c>
      <c r="D34" s="1">
        <v>1531</v>
      </c>
      <c r="E34" s="1" t="s">
        <v>37</v>
      </c>
      <c r="F34" s="1">
        <v>0</v>
      </c>
      <c r="G34" s="1" t="s">
        <v>13</v>
      </c>
      <c r="H34" s="1"/>
      <c r="I34" s="1"/>
    </row>
    <row r="35" spans="3:9" x14ac:dyDescent="0.25">
      <c r="C35" s="1">
        <v>7000094</v>
      </c>
      <c r="D35" s="1">
        <v>1531</v>
      </c>
      <c r="E35" s="1" t="s">
        <v>38</v>
      </c>
      <c r="F35" s="1">
        <v>0</v>
      </c>
      <c r="G35" s="1" t="s">
        <v>13</v>
      </c>
      <c r="H35" s="1"/>
      <c r="I35" s="1"/>
    </row>
    <row r="36" spans="3:9" x14ac:dyDescent="0.25">
      <c r="C36" s="1">
        <v>7000101</v>
      </c>
      <c r="D36" s="1">
        <v>1531</v>
      </c>
      <c r="E36" s="1" t="s">
        <v>39</v>
      </c>
      <c r="F36" s="1">
        <v>0</v>
      </c>
      <c r="G36" s="1" t="s">
        <v>13</v>
      </c>
      <c r="H36" s="1"/>
      <c r="I36" s="1"/>
    </row>
    <row r="37" spans="3:9" x14ac:dyDescent="0.25">
      <c r="C37" s="1">
        <v>7000103</v>
      </c>
      <c r="D37" s="1">
        <v>1531</v>
      </c>
      <c r="E37" s="1" t="s">
        <v>40</v>
      </c>
      <c r="F37" s="1">
        <v>0</v>
      </c>
      <c r="G37" s="1" t="s">
        <v>13</v>
      </c>
      <c r="H37" s="1"/>
      <c r="I37" s="1"/>
    </row>
    <row r="38" spans="3:9" x14ac:dyDescent="0.25">
      <c r="C38" s="1">
        <v>7000106</v>
      </c>
      <c r="D38" s="1">
        <v>1531</v>
      </c>
      <c r="E38" s="1" t="s">
        <v>41</v>
      </c>
      <c r="F38" s="1">
        <v>0</v>
      </c>
      <c r="G38" s="1" t="s">
        <v>13</v>
      </c>
      <c r="H38" s="1"/>
      <c r="I38" s="1"/>
    </row>
    <row r="39" spans="3:9" x14ac:dyDescent="0.25">
      <c r="C39" s="1">
        <v>7000107</v>
      </c>
      <c r="D39" s="1">
        <v>1531</v>
      </c>
      <c r="E39" s="1" t="s">
        <v>42</v>
      </c>
      <c r="F39" s="1">
        <v>0</v>
      </c>
      <c r="G39" s="1" t="s">
        <v>13</v>
      </c>
      <c r="H39" s="1"/>
      <c r="I39" s="1"/>
    </row>
    <row r="40" spans="3:9" x14ac:dyDescent="0.25">
      <c r="C40" s="1">
        <v>7000110</v>
      </c>
      <c r="D40" s="1">
        <v>1531</v>
      </c>
      <c r="E40" s="1" t="s">
        <v>43</v>
      </c>
      <c r="F40" s="1">
        <v>0</v>
      </c>
      <c r="G40" s="1" t="s">
        <v>13</v>
      </c>
      <c r="H40" s="1"/>
      <c r="I40" s="1"/>
    </row>
    <row r="41" spans="3:9" x14ac:dyDescent="0.25">
      <c r="C41" s="1">
        <v>7000124</v>
      </c>
      <c r="D41" s="1">
        <v>1531</v>
      </c>
      <c r="E41" s="1" t="s">
        <v>44</v>
      </c>
      <c r="F41" s="1">
        <v>0</v>
      </c>
      <c r="G41" s="1" t="s">
        <v>13</v>
      </c>
      <c r="H41" s="1"/>
      <c r="I41" s="1"/>
    </row>
    <row r="42" spans="3:9" x14ac:dyDescent="0.25">
      <c r="C42" s="1">
        <v>7000125</v>
      </c>
      <c r="D42" s="1">
        <v>1531</v>
      </c>
      <c r="E42" s="1" t="s">
        <v>45</v>
      </c>
      <c r="F42" s="1">
        <v>0</v>
      </c>
      <c r="G42" s="1" t="s">
        <v>13</v>
      </c>
      <c r="H42" s="1"/>
      <c r="I42" s="1"/>
    </row>
    <row r="43" spans="3:9" x14ac:dyDescent="0.25">
      <c r="C43" s="1">
        <v>7000126</v>
      </c>
      <c r="D43" s="1">
        <v>1531</v>
      </c>
      <c r="E43" s="1" t="s">
        <v>46</v>
      </c>
      <c r="F43" s="1">
        <v>0</v>
      </c>
      <c r="G43" s="1" t="s">
        <v>13</v>
      </c>
      <c r="H43" s="1"/>
      <c r="I43" s="1"/>
    </row>
    <row r="44" spans="3:9" x14ac:dyDescent="0.25">
      <c r="C44" s="1">
        <v>7000133</v>
      </c>
      <c r="D44" s="1">
        <v>1531</v>
      </c>
      <c r="E44" s="1" t="s">
        <v>47</v>
      </c>
      <c r="F44" s="1">
        <v>0</v>
      </c>
      <c r="G44" s="1" t="s">
        <v>13</v>
      </c>
      <c r="H44" s="1"/>
      <c r="I44" s="1"/>
    </row>
    <row r="45" spans="3:9" x14ac:dyDescent="0.25">
      <c r="C45" s="1">
        <v>7000135</v>
      </c>
      <c r="D45" s="1">
        <v>1531</v>
      </c>
      <c r="E45" s="1" t="s">
        <v>48</v>
      </c>
      <c r="F45" s="1">
        <v>0</v>
      </c>
      <c r="G45" s="1" t="s">
        <v>13</v>
      </c>
      <c r="H45" s="1"/>
      <c r="I45" s="1"/>
    </row>
    <row r="46" spans="3:9" x14ac:dyDescent="0.25">
      <c r="C46" s="1">
        <v>7000136</v>
      </c>
      <c r="D46" s="1">
        <v>1531</v>
      </c>
      <c r="E46" s="1" t="s">
        <v>50</v>
      </c>
      <c r="F46" s="1">
        <v>2.1999999999999999E-2</v>
      </c>
      <c r="G46" s="1" t="s">
        <v>13</v>
      </c>
      <c r="H46" s="1"/>
      <c r="I46" s="1"/>
    </row>
    <row r="47" spans="3:9" x14ac:dyDescent="0.25">
      <c r="C47" s="1">
        <v>7000138</v>
      </c>
      <c r="D47" s="1">
        <v>1531</v>
      </c>
      <c r="E47" s="1" t="s">
        <v>51</v>
      </c>
      <c r="F47" s="1">
        <v>0</v>
      </c>
      <c r="G47" s="1" t="s">
        <v>13</v>
      </c>
      <c r="H47" s="1"/>
      <c r="I47" s="1"/>
    </row>
    <row r="48" spans="3:9" x14ac:dyDescent="0.25">
      <c r="C48" s="1">
        <v>7000140</v>
      </c>
      <c r="D48" s="1">
        <v>1531</v>
      </c>
      <c r="E48" s="1" t="s">
        <v>52</v>
      </c>
      <c r="F48" s="1">
        <v>0</v>
      </c>
      <c r="G48" s="1" t="s">
        <v>13</v>
      </c>
      <c r="H48" s="1"/>
      <c r="I48" s="1"/>
    </row>
    <row r="49" spans="3:9" x14ac:dyDescent="0.25">
      <c r="C49" s="1">
        <v>7000146</v>
      </c>
      <c r="D49" s="1">
        <v>1531</v>
      </c>
      <c r="E49" s="1" t="s">
        <v>53</v>
      </c>
      <c r="F49" s="1">
        <v>0</v>
      </c>
      <c r="G49" s="1" t="s">
        <v>13</v>
      </c>
      <c r="H49" s="1"/>
      <c r="I49" s="1"/>
    </row>
    <row r="50" spans="3:9" x14ac:dyDescent="0.25">
      <c r="C50" s="1">
        <v>7000147</v>
      </c>
      <c r="D50" s="1">
        <v>1531</v>
      </c>
      <c r="E50" s="1" t="s">
        <v>54</v>
      </c>
      <c r="F50" s="1">
        <v>0</v>
      </c>
      <c r="G50" s="1" t="s">
        <v>13</v>
      </c>
      <c r="H50" s="1"/>
      <c r="I50" s="1"/>
    </row>
    <row r="51" spans="3:9" x14ac:dyDescent="0.25">
      <c r="C51" s="1">
        <v>7000148</v>
      </c>
      <c r="D51" s="1">
        <v>1531</v>
      </c>
      <c r="E51" s="1" t="s">
        <v>55</v>
      </c>
      <c r="F51" s="1">
        <v>0</v>
      </c>
      <c r="G51" s="1" t="s">
        <v>13</v>
      </c>
      <c r="H51" s="1"/>
      <c r="I51" s="1"/>
    </row>
    <row r="52" spans="3:9" x14ac:dyDescent="0.25">
      <c r="C52" s="1">
        <v>7000150</v>
      </c>
      <c r="D52" s="1">
        <v>1531</v>
      </c>
      <c r="E52" s="1" t="s">
        <v>56</v>
      </c>
      <c r="F52" s="1">
        <v>0</v>
      </c>
      <c r="G52" s="1" t="s">
        <v>13</v>
      </c>
      <c r="H52" s="1"/>
      <c r="I52" s="1"/>
    </row>
    <row r="53" spans="3:9" x14ac:dyDescent="0.25">
      <c r="C53" s="1">
        <v>7000152</v>
      </c>
      <c r="D53" s="1">
        <v>1531</v>
      </c>
      <c r="E53" s="1" t="s">
        <v>57</v>
      </c>
      <c r="F53" s="1">
        <v>0</v>
      </c>
      <c r="G53" s="1" t="s">
        <v>13</v>
      </c>
      <c r="H53" s="1"/>
      <c r="I53" s="1"/>
    </row>
    <row r="54" spans="3:9" x14ac:dyDescent="0.25">
      <c r="C54" s="1">
        <v>7000153</v>
      </c>
      <c r="D54" s="1">
        <v>1531</v>
      </c>
      <c r="E54" s="1" t="s">
        <v>58</v>
      </c>
      <c r="F54" s="1">
        <v>0</v>
      </c>
      <c r="G54" s="1" t="s">
        <v>13</v>
      </c>
      <c r="H54" s="1"/>
      <c r="I54" s="1"/>
    </row>
    <row r="55" spans="3:9" x14ac:dyDescent="0.25">
      <c r="C55" s="1">
        <v>7000157</v>
      </c>
      <c r="D55" s="1">
        <v>1531</v>
      </c>
      <c r="E55" s="1" t="s">
        <v>59</v>
      </c>
      <c r="F55" s="1">
        <v>0</v>
      </c>
      <c r="G55" s="1" t="s">
        <v>13</v>
      </c>
      <c r="H55" s="1"/>
      <c r="I55" s="1"/>
    </row>
    <row r="56" spans="3:9" x14ac:dyDescent="0.25">
      <c r="C56" s="1">
        <v>7000158</v>
      </c>
      <c r="D56" s="1">
        <v>1531</v>
      </c>
      <c r="E56" s="1" t="s">
        <v>60</v>
      </c>
      <c r="F56" s="1">
        <v>0</v>
      </c>
      <c r="G56" s="1" t="s">
        <v>13</v>
      </c>
      <c r="H56" s="1"/>
      <c r="I56" s="1"/>
    </row>
    <row r="57" spans="3:9" x14ac:dyDescent="0.25">
      <c r="C57" s="1">
        <v>7000160</v>
      </c>
      <c r="D57" s="1">
        <v>1531</v>
      </c>
      <c r="E57" s="1" t="s">
        <v>61</v>
      </c>
      <c r="F57" s="1">
        <v>0</v>
      </c>
      <c r="G57" s="1" t="s">
        <v>13</v>
      </c>
      <c r="H57" s="1"/>
      <c r="I57" s="1"/>
    </row>
    <row r="58" spans="3:9" x14ac:dyDescent="0.25">
      <c r="C58" s="1">
        <v>7000161</v>
      </c>
      <c r="D58" s="1">
        <v>1531</v>
      </c>
      <c r="E58" s="1" t="s">
        <v>62</v>
      </c>
      <c r="F58" s="1">
        <v>0</v>
      </c>
      <c r="G58" s="1" t="s">
        <v>13</v>
      </c>
      <c r="H58" s="1"/>
      <c r="I58" s="1"/>
    </row>
    <row r="59" spans="3:9" x14ac:dyDescent="0.25">
      <c r="C59" s="1">
        <v>7000162</v>
      </c>
      <c r="D59" s="1">
        <v>1531</v>
      </c>
      <c r="E59" s="1" t="s">
        <v>63</v>
      </c>
      <c r="F59" s="1">
        <v>0</v>
      </c>
      <c r="G59" s="1" t="s">
        <v>13</v>
      </c>
      <c r="H59" s="1"/>
      <c r="I59" s="1"/>
    </row>
    <row r="60" spans="3:9" x14ac:dyDescent="0.25">
      <c r="C60" s="1">
        <v>7000163</v>
      </c>
      <c r="D60" s="1">
        <v>1531</v>
      </c>
      <c r="E60" s="1" t="s">
        <v>64</v>
      </c>
      <c r="F60" s="1">
        <v>0</v>
      </c>
      <c r="G60" s="1" t="s">
        <v>13</v>
      </c>
      <c r="H60" s="1"/>
      <c r="I60" s="1"/>
    </row>
    <row r="61" spans="3:9" x14ac:dyDescent="0.25">
      <c r="C61" s="1">
        <v>7000164</v>
      </c>
      <c r="D61" s="1">
        <v>1531</v>
      </c>
      <c r="E61" s="1" t="s">
        <v>65</v>
      </c>
      <c r="F61" s="1">
        <v>0</v>
      </c>
      <c r="G61" s="1" t="s">
        <v>13</v>
      </c>
      <c r="H61" s="1"/>
      <c r="I61" s="1"/>
    </row>
    <row r="62" spans="3:9" x14ac:dyDescent="0.25">
      <c r="C62" s="1">
        <v>7000165</v>
      </c>
      <c r="D62" s="1">
        <v>1531</v>
      </c>
      <c r="E62" s="1" t="s">
        <v>66</v>
      </c>
      <c r="F62" s="1">
        <v>0</v>
      </c>
      <c r="G62" s="1" t="s">
        <v>13</v>
      </c>
      <c r="H62" s="1"/>
      <c r="I62" s="1"/>
    </row>
    <row r="63" spans="3:9" x14ac:dyDescent="0.25">
      <c r="C63" s="1">
        <v>7000166</v>
      </c>
      <c r="D63" s="1">
        <v>1531</v>
      </c>
      <c r="E63" s="1" t="s">
        <v>67</v>
      </c>
      <c r="F63" s="1">
        <v>0</v>
      </c>
      <c r="G63" s="1" t="s">
        <v>13</v>
      </c>
      <c r="H63" s="1"/>
      <c r="I63" s="1"/>
    </row>
    <row r="64" spans="3:9" x14ac:dyDescent="0.25">
      <c r="C64" s="1">
        <v>7000167</v>
      </c>
      <c r="D64" s="1">
        <v>1531</v>
      </c>
      <c r="E64" s="1" t="s">
        <v>68</v>
      </c>
      <c r="F64" s="1">
        <v>0</v>
      </c>
      <c r="G64" s="1" t="s">
        <v>13</v>
      </c>
      <c r="H64" s="1"/>
      <c r="I64" s="1"/>
    </row>
    <row r="65" spans="3:9" x14ac:dyDescent="0.25">
      <c r="C65" s="1">
        <v>7000168</v>
      </c>
      <c r="D65" s="1">
        <v>1531</v>
      </c>
      <c r="E65" s="1" t="s">
        <v>69</v>
      </c>
      <c r="F65" s="1">
        <v>0</v>
      </c>
      <c r="G65" s="1" t="s">
        <v>13</v>
      </c>
      <c r="H65" s="1"/>
      <c r="I65" s="1"/>
    </row>
    <row r="66" spans="3:9" x14ac:dyDescent="0.25">
      <c r="C66" s="1">
        <v>7000169</v>
      </c>
      <c r="D66" s="1">
        <v>1531</v>
      </c>
      <c r="E66" s="1" t="s">
        <v>70</v>
      </c>
      <c r="F66" s="1">
        <v>0</v>
      </c>
      <c r="G66" s="1" t="s">
        <v>13</v>
      </c>
      <c r="H66" s="1"/>
      <c r="I66" s="1"/>
    </row>
    <row r="67" spans="3:9" x14ac:dyDescent="0.25">
      <c r="C67" s="1">
        <v>7000173</v>
      </c>
      <c r="D67" s="1">
        <v>1531</v>
      </c>
      <c r="E67" s="1" t="s">
        <v>71</v>
      </c>
      <c r="F67" s="1">
        <v>0</v>
      </c>
      <c r="G67" s="1" t="s">
        <v>13</v>
      </c>
      <c r="H67" s="1"/>
      <c r="I67" s="1"/>
    </row>
    <row r="68" spans="3:9" x14ac:dyDescent="0.25">
      <c r="C68" s="1">
        <v>7000174</v>
      </c>
      <c r="D68" s="1">
        <v>1531</v>
      </c>
      <c r="E68" s="1" t="s">
        <v>72</v>
      </c>
      <c r="F68" s="1">
        <v>0</v>
      </c>
      <c r="G68" s="1" t="s">
        <v>13</v>
      </c>
      <c r="H68" s="1"/>
      <c r="I68" s="1"/>
    </row>
    <row r="69" spans="3:9" x14ac:dyDescent="0.25">
      <c r="C69" s="1">
        <v>7000175</v>
      </c>
      <c r="D69" s="1">
        <v>1531</v>
      </c>
      <c r="E69" s="1" t="s">
        <v>73</v>
      </c>
      <c r="F69" s="1">
        <v>0</v>
      </c>
      <c r="G69" s="1" t="s">
        <v>13</v>
      </c>
      <c r="H69" s="1"/>
      <c r="I69" s="1"/>
    </row>
    <row r="70" spans="3:9" x14ac:dyDescent="0.25">
      <c r="C70" s="1">
        <v>7000177</v>
      </c>
      <c r="D70" s="1">
        <v>1531</v>
      </c>
      <c r="E70" s="1" t="s">
        <v>74</v>
      </c>
      <c r="F70" s="1">
        <v>0</v>
      </c>
      <c r="G70" s="1" t="s">
        <v>13</v>
      </c>
      <c r="H70" s="1"/>
      <c r="I70" s="1"/>
    </row>
    <row r="71" spans="3:9" x14ac:dyDescent="0.25">
      <c r="C71" s="1">
        <v>7000179</v>
      </c>
      <c r="D71" s="1">
        <v>1531</v>
      </c>
      <c r="E71" s="1" t="s">
        <v>75</v>
      </c>
      <c r="F71" s="1">
        <v>0</v>
      </c>
      <c r="G71" s="1" t="s">
        <v>13</v>
      </c>
      <c r="H71" s="1"/>
      <c r="I71" s="1"/>
    </row>
    <row r="72" spans="3:9" x14ac:dyDescent="0.25">
      <c r="C72" s="1">
        <v>7000180</v>
      </c>
      <c r="D72" s="1">
        <v>1531</v>
      </c>
      <c r="E72" s="1" t="s">
        <v>76</v>
      </c>
      <c r="F72" s="1">
        <v>0</v>
      </c>
      <c r="G72" s="1" t="s">
        <v>13</v>
      </c>
      <c r="H72" s="1"/>
      <c r="I72" s="1"/>
    </row>
    <row r="73" spans="3:9" x14ac:dyDescent="0.25">
      <c r="C73" s="1">
        <v>7000182</v>
      </c>
      <c r="D73" s="1">
        <v>1531</v>
      </c>
      <c r="E73" s="1" t="s">
        <v>77</v>
      </c>
      <c r="F73" s="1">
        <v>0</v>
      </c>
      <c r="G73" s="1" t="s">
        <v>13</v>
      </c>
      <c r="H73" s="1"/>
      <c r="I73" s="1"/>
    </row>
    <row r="74" spans="3:9" x14ac:dyDescent="0.25">
      <c r="C74" s="1">
        <v>7000185</v>
      </c>
      <c r="D74" s="1">
        <v>1531</v>
      </c>
      <c r="E74" s="1" t="s">
        <v>78</v>
      </c>
      <c r="F74" s="1">
        <v>0</v>
      </c>
      <c r="G74" s="1" t="s">
        <v>13</v>
      </c>
      <c r="H74" s="1"/>
      <c r="I74" s="1"/>
    </row>
    <row r="75" spans="3:9" x14ac:dyDescent="0.25">
      <c r="C75" s="1">
        <v>7000192</v>
      </c>
      <c r="D75" s="1">
        <v>1531</v>
      </c>
      <c r="E75" s="1" t="s">
        <v>79</v>
      </c>
      <c r="F75" s="1">
        <v>0</v>
      </c>
      <c r="G75" s="1" t="s">
        <v>13</v>
      </c>
      <c r="H75" s="1"/>
      <c r="I75" s="1"/>
    </row>
    <row r="76" spans="3:9" x14ac:dyDescent="0.25">
      <c r="C76" s="1">
        <v>7000199</v>
      </c>
      <c r="D76" s="1">
        <v>1531</v>
      </c>
      <c r="E76" s="1" t="s">
        <v>80</v>
      </c>
      <c r="F76" s="1">
        <v>0</v>
      </c>
      <c r="G76" s="1" t="s">
        <v>13</v>
      </c>
      <c r="H76" s="1"/>
      <c r="I76" s="1"/>
    </row>
    <row r="77" spans="3:9" x14ac:dyDescent="0.25">
      <c r="C77" s="1">
        <v>7000203</v>
      </c>
      <c r="D77" s="1">
        <v>1531</v>
      </c>
      <c r="E77" s="1" t="s">
        <v>81</v>
      </c>
      <c r="F77" s="1">
        <v>0</v>
      </c>
      <c r="G77" s="1" t="s">
        <v>13</v>
      </c>
      <c r="H77" s="1"/>
      <c r="I77" s="1"/>
    </row>
    <row r="78" spans="3:9" x14ac:dyDescent="0.25">
      <c r="C78" s="1">
        <v>7000209</v>
      </c>
      <c r="D78" s="1">
        <v>1531</v>
      </c>
      <c r="E78" s="1" t="s">
        <v>82</v>
      </c>
      <c r="F78" s="1">
        <v>0</v>
      </c>
      <c r="G78" s="1" t="s">
        <v>13</v>
      </c>
      <c r="H78" s="1"/>
      <c r="I78" s="1"/>
    </row>
    <row r="79" spans="3:9" x14ac:dyDescent="0.25">
      <c r="C79" s="1">
        <v>7000216</v>
      </c>
      <c r="D79" s="1">
        <v>1531</v>
      </c>
      <c r="E79" s="1" t="s">
        <v>83</v>
      </c>
      <c r="F79" s="1">
        <v>0</v>
      </c>
      <c r="G79" s="1" t="s">
        <v>13</v>
      </c>
      <c r="H79" s="1"/>
      <c r="I79" s="1"/>
    </row>
    <row r="80" spans="3:9" x14ac:dyDescent="0.25">
      <c r="C80" s="1">
        <v>7000222</v>
      </c>
      <c r="D80" s="1">
        <v>1531</v>
      </c>
      <c r="E80" s="1" t="s">
        <v>84</v>
      </c>
      <c r="F80" s="1">
        <v>0</v>
      </c>
      <c r="G80" s="1" t="s">
        <v>8</v>
      </c>
      <c r="H80" s="1"/>
      <c r="I80" s="1"/>
    </row>
    <row r="81" spans="3:9" x14ac:dyDescent="0.25">
      <c r="C81" s="1">
        <v>7000226</v>
      </c>
      <c r="D81" s="1">
        <v>1531</v>
      </c>
      <c r="E81" s="1" t="s">
        <v>85</v>
      </c>
      <c r="F81" s="1">
        <v>0</v>
      </c>
      <c r="G81" s="1" t="s">
        <v>8</v>
      </c>
      <c r="H81" s="1"/>
      <c r="I81" s="1"/>
    </row>
    <row r="82" spans="3:9" x14ac:dyDescent="0.25">
      <c r="C82" s="1">
        <v>7000227</v>
      </c>
      <c r="D82" s="1">
        <v>1531</v>
      </c>
      <c r="E82" s="1" t="s">
        <v>86</v>
      </c>
      <c r="F82" s="1">
        <v>315410.2</v>
      </c>
      <c r="G82" s="1" t="s">
        <v>8</v>
      </c>
      <c r="H82" s="1"/>
      <c r="I82" s="1"/>
    </row>
    <row r="83" spans="3:9" x14ac:dyDescent="0.25">
      <c r="C83" s="1">
        <v>7000230</v>
      </c>
      <c r="D83" s="1">
        <v>1531</v>
      </c>
      <c r="E83" s="1" t="s">
        <v>87</v>
      </c>
      <c r="F83" s="1">
        <v>0</v>
      </c>
      <c r="G83" s="1" t="s">
        <v>8</v>
      </c>
      <c r="H83" s="1"/>
      <c r="I83" s="1"/>
    </row>
    <row r="84" spans="3:9" x14ac:dyDescent="0.25">
      <c r="C84" s="1">
        <v>7000231</v>
      </c>
      <c r="D84" s="1">
        <v>1531</v>
      </c>
      <c r="E84" s="1" t="s">
        <v>88</v>
      </c>
      <c r="F84" s="1">
        <v>0</v>
      </c>
      <c r="G84" s="1" t="s">
        <v>8</v>
      </c>
      <c r="H84" s="1"/>
      <c r="I84" s="1"/>
    </row>
    <row r="85" spans="3:9" x14ac:dyDescent="0.25">
      <c r="C85" s="1">
        <v>7000232</v>
      </c>
      <c r="D85" s="1">
        <v>1531</v>
      </c>
      <c r="E85" s="1" t="s">
        <v>89</v>
      </c>
      <c r="F85" s="1">
        <v>0</v>
      </c>
      <c r="G85" s="1" t="s">
        <v>8</v>
      </c>
      <c r="H85" s="1"/>
      <c r="I85" s="1"/>
    </row>
    <row r="86" spans="3:9" x14ac:dyDescent="0.25">
      <c r="C86" s="1">
        <v>7000235</v>
      </c>
      <c r="D86" s="1">
        <v>1531</v>
      </c>
      <c r="E86" s="1" t="s">
        <v>90</v>
      </c>
      <c r="F86" s="1">
        <v>0</v>
      </c>
      <c r="G86" s="1" t="s">
        <v>8</v>
      </c>
      <c r="H86" s="1"/>
      <c r="I86" s="1"/>
    </row>
    <row r="87" spans="3:9" x14ac:dyDescent="0.25">
      <c r="C87" s="1">
        <v>7000240</v>
      </c>
      <c r="D87" s="1">
        <v>1531</v>
      </c>
      <c r="E87" s="1" t="s">
        <v>91</v>
      </c>
      <c r="F87" s="1">
        <v>0</v>
      </c>
      <c r="G87" s="1" t="s">
        <v>13</v>
      </c>
      <c r="H87" s="1"/>
      <c r="I87" s="1"/>
    </row>
    <row r="88" spans="3:9" x14ac:dyDescent="0.25">
      <c r="C88" s="1">
        <v>7000243</v>
      </c>
      <c r="D88" s="1">
        <v>1531</v>
      </c>
      <c r="E88" s="1" t="s">
        <v>92</v>
      </c>
      <c r="F88" s="1">
        <v>0</v>
      </c>
      <c r="G88" s="1" t="s">
        <v>13</v>
      </c>
      <c r="H88" s="1"/>
      <c r="I88" s="1"/>
    </row>
    <row r="89" spans="3:9" x14ac:dyDescent="0.25">
      <c r="C89" s="1">
        <v>7000244</v>
      </c>
      <c r="D89" s="1">
        <v>1531</v>
      </c>
      <c r="E89" s="1" t="s">
        <v>93</v>
      </c>
      <c r="F89" s="1">
        <v>0</v>
      </c>
      <c r="G89" s="1" t="s">
        <v>13</v>
      </c>
      <c r="H89" s="1"/>
      <c r="I89" s="1"/>
    </row>
    <row r="90" spans="3:9" x14ac:dyDescent="0.25">
      <c r="C90" s="1">
        <v>7000250</v>
      </c>
      <c r="D90" s="1">
        <v>1531</v>
      </c>
      <c r="E90" s="1" t="s">
        <v>94</v>
      </c>
      <c r="F90" s="1">
        <v>0</v>
      </c>
      <c r="G90" s="1" t="s">
        <v>8</v>
      </c>
      <c r="H90" s="1"/>
      <c r="I90" s="1"/>
    </row>
    <row r="91" spans="3:9" x14ac:dyDescent="0.25">
      <c r="C91" s="1">
        <v>7000252</v>
      </c>
      <c r="D91" s="1">
        <v>1531</v>
      </c>
      <c r="E91" s="1" t="s">
        <v>95</v>
      </c>
      <c r="F91" s="1">
        <v>0</v>
      </c>
      <c r="G91" s="1" t="s">
        <v>96</v>
      </c>
      <c r="H91" s="1"/>
      <c r="I91" s="1"/>
    </row>
    <row r="92" spans="3:9" x14ac:dyDescent="0.25">
      <c r="C92" s="1">
        <v>7000262</v>
      </c>
      <c r="D92" s="1">
        <v>1531</v>
      </c>
      <c r="E92" s="1" t="s">
        <v>97</v>
      </c>
      <c r="F92" s="1">
        <v>0</v>
      </c>
      <c r="G92" s="1" t="s">
        <v>13</v>
      </c>
      <c r="H92" s="1"/>
      <c r="I92" s="1"/>
    </row>
    <row r="93" spans="3:9" x14ac:dyDescent="0.25">
      <c r="C93" s="1">
        <v>7000263</v>
      </c>
      <c r="D93" s="1">
        <v>1531</v>
      </c>
      <c r="E93" s="1" t="s">
        <v>98</v>
      </c>
      <c r="F93" s="1">
        <v>0</v>
      </c>
      <c r="G93" s="1" t="s">
        <v>13</v>
      </c>
      <c r="H93" s="1"/>
      <c r="I93" s="1"/>
    </row>
    <row r="94" spans="3:9" x14ac:dyDescent="0.25">
      <c r="C94" s="1">
        <v>7000264</v>
      </c>
      <c r="D94" s="1">
        <v>1531</v>
      </c>
      <c r="E94" s="1" t="s">
        <v>99</v>
      </c>
      <c r="F94" s="1">
        <v>1235.1880000000001</v>
      </c>
      <c r="G94" s="1" t="s">
        <v>13</v>
      </c>
      <c r="H94" s="1"/>
      <c r="I94" s="1"/>
    </row>
    <row r="95" spans="3:9" x14ac:dyDescent="0.25">
      <c r="C95" s="1">
        <v>7000265</v>
      </c>
      <c r="D95" s="1">
        <v>1531</v>
      </c>
      <c r="E95" s="1" t="s">
        <v>100</v>
      </c>
      <c r="F95" s="1">
        <v>0</v>
      </c>
      <c r="G95" s="1" t="s">
        <v>13</v>
      </c>
      <c r="H95" s="1"/>
      <c r="I95" s="1"/>
    </row>
    <row r="96" spans="3:9" x14ac:dyDescent="0.25">
      <c r="C96" s="1">
        <v>7000266</v>
      </c>
      <c r="D96" s="1">
        <v>1531</v>
      </c>
      <c r="E96" s="1" t="s">
        <v>101</v>
      </c>
      <c r="F96" s="1">
        <v>0</v>
      </c>
      <c r="G96" s="1" t="s">
        <v>13</v>
      </c>
      <c r="H96" s="1"/>
      <c r="I96" s="1"/>
    </row>
    <row r="97" spans="3:9" x14ac:dyDescent="0.25">
      <c r="C97" s="1">
        <v>7000267</v>
      </c>
      <c r="D97" s="1">
        <v>1531</v>
      </c>
      <c r="E97" s="1" t="s">
        <v>102</v>
      </c>
      <c r="F97" s="1">
        <v>0</v>
      </c>
      <c r="G97" s="1" t="s">
        <v>13</v>
      </c>
      <c r="H97" s="1"/>
      <c r="I97" s="1"/>
    </row>
    <row r="98" spans="3:9" x14ac:dyDescent="0.25">
      <c r="C98" s="1">
        <v>7000268</v>
      </c>
      <c r="D98" s="1">
        <v>1531</v>
      </c>
      <c r="E98" s="1" t="s">
        <v>103</v>
      </c>
      <c r="F98" s="1">
        <v>0</v>
      </c>
      <c r="G98" s="1" t="s">
        <v>13</v>
      </c>
      <c r="H98" s="1"/>
      <c r="I98" s="1"/>
    </row>
    <row r="99" spans="3:9" x14ac:dyDescent="0.25">
      <c r="C99" s="1">
        <v>7000269</v>
      </c>
      <c r="D99" s="1">
        <v>1531</v>
      </c>
      <c r="E99" s="1" t="s">
        <v>104</v>
      </c>
      <c r="F99" s="1">
        <v>0</v>
      </c>
      <c r="G99" s="1" t="s">
        <v>13</v>
      </c>
      <c r="H99" s="1"/>
      <c r="I99" s="1"/>
    </row>
    <row r="100" spans="3:9" x14ac:dyDescent="0.25">
      <c r="C100" s="1">
        <v>7000288</v>
      </c>
      <c r="D100" s="1">
        <v>1531</v>
      </c>
      <c r="E100" s="1" t="s">
        <v>105</v>
      </c>
      <c r="F100" s="1">
        <v>0</v>
      </c>
      <c r="G100" s="1" t="s">
        <v>13</v>
      </c>
      <c r="H100" s="1"/>
      <c r="I100" s="1"/>
    </row>
    <row r="101" spans="3:9" x14ac:dyDescent="0.25">
      <c r="C101" s="1">
        <v>7000289</v>
      </c>
      <c r="D101" s="1">
        <v>1531</v>
      </c>
      <c r="E101" s="1" t="s">
        <v>106</v>
      </c>
      <c r="F101" s="1">
        <v>0</v>
      </c>
      <c r="G101" s="1" t="s">
        <v>96</v>
      </c>
      <c r="H101" s="1"/>
      <c r="I101" s="1"/>
    </row>
    <row r="102" spans="3:9" x14ac:dyDescent="0.25">
      <c r="C102" s="1">
        <v>7000291</v>
      </c>
      <c r="D102" s="1">
        <v>1531</v>
      </c>
      <c r="E102" s="1" t="s">
        <v>107</v>
      </c>
      <c r="F102" s="1">
        <v>0</v>
      </c>
      <c r="G102" s="1" t="s">
        <v>8</v>
      </c>
      <c r="H102" s="1"/>
      <c r="I102" s="1"/>
    </row>
    <row r="103" spans="3:9" x14ac:dyDescent="0.25">
      <c r="C103" s="1">
        <v>7000292</v>
      </c>
      <c r="D103" s="1">
        <v>1531</v>
      </c>
      <c r="E103" s="1" t="s">
        <v>108</v>
      </c>
      <c r="F103" s="1">
        <v>52728</v>
      </c>
      <c r="G103" s="1" t="s">
        <v>8</v>
      </c>
      <c r="H103" s="1"/>
      <c r="I103" s="1"/>
    </row>
    <row r="104" spans="3:9" x14ac:dyDescent="0.25">
      <c r="C104" s="1">
        <v>7000293</v>
      </c>
      <c r="D104" s="1">
        <v>1531</v>
      </c>
      <c r="E104" s="1" t="s">
        <v>109</v>
      </c>
      <c r="F104" s="1">
        <v>0</v>
      </c>
      <c r="G104" s="1" t="s">
        <v>8</v>
      </c>
      <c r="H104" s="1"/>
      <c r="I104" s="1"/>
    </row>
    <row r="105" spans="3:9" x14ac:dyDescent="0.25">
      <c r="C105" s="1">
        <v>7000295</v>
      </c>
      <c r="D105" s="1">
        <v>1531</v>
      </c>
      <c r="E105" s="1" t="s">
        <v>110</v>
      </c>
      <c r="F105" s="1">
        <v>0</v>
      </c>
      <c r="G105" s="1" t="s">
        <v>13</v>
      </c>
      <c r="H105" s="1"/>
      <c r="I105" s="1"/>
    </row>
    <row r="106" spans="3:9" x14ac:dyDescent="0.25">
      <c r="C106" s="1">
        <v>7000296</v>
      </c>
      <c r="D106" s="1">
        <v>1531</v>
      </c>
      <c r="E106" s="1" t="s">
        <v>111</v>
      </c>
      <c r="F106" s="1">
        <v>0</v>
      </c>
      <c r="G106" s="1" t="s">
        <v>13</v>
      </c>
      <c r="H106" s="1"/>
      <c r="I106" s="1"/>
    </row>
    <row r="107" spans="3:9" x14ac:dyDescent="0.25">
      <c r="C107" s="1">
        <v>7000300</v>
      </c>
      <c r="D107" s="1">
        <v>1531</v>
      </c>
      <c r="E107" s="1" t="s">
        <v>112</v>
      </c>
      <c r="F107" s="1">
        <v>196308</v>
      </c>
      <c r="G107" s="1" t="s">
        <v>8</v>
      </c>
      <c r="H107" s="1"/>
      <c r="I107" s="1"/>
    </row>
    <row r="108" spans="3:9" x14ac:dyDescent="0.25">
      <c r="C108" s="1">
        <v>7000310</v>
      </c>
      <c r="D108" s="1">
        <v>1531</v>
      </c>
      <c r="E108" s="1" t="s">
        <v>113</v>
      </c>
      <c r="F108" s="1">
        <v>0</v>
      </c>
      <c r="G108" s="1" t="s">
        <v>13</v>
      </c>
      <c r="H108" s="1"/>
      <c r="I108" s="1"/>
    </row>
    <row r="109" spans="3:9" x14ac:dyDescent="0.25">
      <c r="C109" s="1">
        <v>7000321</v>
      </c>
      <c r="D109" s="1">
        <v>1531</v>
      </c>
      <c r="E109" s="1" t="s">
        <v>114</v>
      </c>
      <c r="F109" s="1">
        <v>0</v>
      </c>
      <c r="G109" s="1" t="s">
        <v>96</v>
      </c>
      <c r="H109" s="1"/>
      <c r="I109" s="1"/>
    </row>
    <row r="110" spans="3:9" x14ac:dyDescent="0.25">
      <c r="C110" s="1">
        <v>7000322</v>
      </c>
      <c r="D110" s="1">
        <v>1531</v>
      </c>
      <c r="E110" s="1" t="s">
        <v>115</v>
      </c>
      <c r="F110" s="1">
        <v>0</v>
      </c>
      <c r="G110" s="1" t="s">
        <v>96</v>
      </c>
      <c r="H110" s="1"/>
      <c r="I110" s="1"/>
    </row>
    <row r="111" spans="3:9" x14ac:dyDescent="0.25">
      <c r="C111" s="1">
        <v>7000323</v>
      </c>
      <c r="D111" s="1">
        <v>1531</v>
      </c>
      <c r="E111" s="1" t="s">
        <v>116</v>
      </c>
      <c r="F111" s="1">
        <v>0</v>
      </c>
      <c r="G111" s="1" t="s">
        <v>8</v>
      </c>
      <c r="H111" s="1"/>
      <c r="I111" s="1"/>
    </row>
    <row r="112" spans="3:9" x14ac:dyDescent="0.25">
      <c r="C112" s="1">
        <v>7000326</v>
      </c>
      <c r="D112" s="1">
        <v>1531</v>
      </c>
      <c r="E112" s="1" t="s">
        <v>117</v>
      </c>
      <c r="F112" s="1">
        <v>0</v>
      </c>
      <c r="G112" s="1" t="s">
        <v>96</v>
      </c>
      <c r="H112" s="1"/>
      <c r="I112" s="1"/>
    </row>
    <row r="113" spans="3:9" x14ac:dyDescent="0.25">
      <c r="C113" s="1">
        <v>7000328</v>
      </c>
      <c r="D113" s="1">
        <v>1531</v>
      </c>
      <c r="E113" s="1" t="s">
        <v>118</v>
      </c>
      <c r="F113" s="1">
        <v>0</v>
      </c>
      <c r="G113" s="1" t="s">
        <v>96</v>
      </c>
      <c r="H113" s="1"/>
      <c r="I113" s="1"/>
    </row>
    <row r="114" spans="3:9" x14ac:dyDescent="0.25">
      <c r="C114" s="1">
        <v>7000329</v>
      </c>
      <c r="D114" s="1">
        <v>1531</v>
      </c>
      <c r="E114" s="1" t="s">
        <v>119</v>
      </c>
      <c r="F114" s="1">
        <v>0</v>
      </c>
      <c r="G114" s="1" t="s">
        <v>96</v>
      </c>
      <c r="H114" s="1"/>
      <c r="I114" s="1"/>
    </row>
    <row r="115" spans="3:9" x14ac:dyDescent="0.25">
      <c r="C115" s="1">
        <v>7000332</v>
      </c>
      <c r="D115" s="1">
        <v>1531</v>
      </c>
      <c r="E115" s="1" t="s">
        <v>120</v>
      </c>
      <c r="F115" s="1">
        <v>0</v>
      </c>
      <c r="G115" s="1" t="s">
        <v>96</v>
      </c>
      <c r="H115" s="1"/>
      <c r="I115" s="1"/>
    </row>
    <row r="116" spans="3:9" x14ac:dyDescent="0.25">
      <c r="C116" s="1">
        <v>7000334</v>
      </c>
      <c r="D116" s="1">
        <v>1531</v>
      </c>
      <c r="E116" s="1" t="s">
        <v>121</v>
      </c>
      <c r="F116" s="1">
        <v>0</v>
      </c>
      <c r="G116" s="1" t="s">
        <v>96</v>
      </c>
      <c r="H116" s="1"/>
      <c r="I116" s="1"/>
    </row>
    <row r="117" spans="3:9" x14ac:dyDescent="0.25">
      <c r="C117" s="1">
        <v>7000335</v>
      </c>
      <c r="D117" s="1">
        <v>1531</v>
      </c>
      <c r="E117" s="1" t="s">
        <v>122</v>
      </c>
      <c r="F117" s="1">
        <v>0</v>
      </c>
      <c r="G117" s="1" t="s">
        <v>96</v>
      </c>
      <c r="H117" s="1"/>
      <c r="I117" s="1"/>
    </row>
    <row r="118" spans="3:9" x14ac:dyDescent="0.25">
      <c r="C118" s="1">
        <v>7000336</v>
      </c>
      <c r="D118" s="1">
        <v>1531</v>
      </c>
      <c r="E118" s="1" t="s">
        <v>123</v>
      </c>
      <c r="F118" s="1">
        <v>0</v>
      </c>
      <c r="G118" s="1" t="s">
        <v>96</v>
      </c>
      <c r="H118" s="1"/>
      <c r="I118" s="1"/>
    </row>
    <row r="119" spans="3:9" x14ac:dyDescent="0.25">
      <c r="C119" s="1">
        <v>7000340</v>
      </c>
      <c r="D119" s="1">
        <v>1531</v>
      </c>
      <c r="E119" s="1" t="s">
        <v>124</v>
      </c>
      <c r="F119" s="1">
        <v>0</v>
      </c>
      <c r="G119" s="1" t="s">
        <v>96</v>
      </c>
      <c r="H119" s="1"/>
      <c r="I119" s="1"/>
    </row>
    <row r="120" spans="3:9" x14ac:dyDescent="0.25">
      <c r="C120" s="1">
        <v>7000346</v>
      </c>
      <c r="D120" s="1">
        <v>1531</v>
      </c>
      <c r="E120" s="1" t="s">
        <v>125</v>
      </c>
      <c r="F120" s="1">
        <v>0</v>
      </c>
      <c r="G120" s="1" t="s">
        <v>13</v>
      </c>
      <c r="H120" s="1"/>
      <c r="I120" s="1"/>
    </row>
    <row r="121" spans="3:9" x14ac:dyDescent="0.25">
      <c r="C121" s="1">
        <v>7000355</v>
      </c>
      <c r="D121" s="1">
        <v>1531</v>
      </c>
      <c r="E121" s="1" t="s">
        <v>126</v>
      </c>
      <c r="F121" s="1">
        <v>0</v>
      </c>
      <c r="G121" s="1" t="s">
        <v>13</v>
      </c>
      <c r="H121" s="1"/>
      <c r="I121" s="1"/>
    </row>
    <row r="122" spans="3:9" x14ac:dyDescent="0.25">
      <c r="C122" s="1">
        <v>7000356</v>
      </c>
      <c r="D122" s="1">
        <v>1531</v>
      </c>
      <c r="E122" s="1" t="s">
        <v>127</v>
      </c>
      <c r="F122" s="1">
        <v>0</v>
      </c>
      <c r="G122" s="1" t="s">
        <v>13</v>
      </c>
      <c r="H122" s="1"/>
      <c r="I122" s="1"/>
    </row>
    <row r="123" spans="3:9" x14ac:dyDescent="0.25">
      <c r="C123" s="1">
        <v>7000366</v>
      </c>
      <c r="D123" s="1">
        <v>1531</v>
      </c>
      <c r="E123" s="1" t="s">
        <v>128</v>
      </c>
      <c r="F123" s="1">
        <v>0</v>
      </c>
      <c r="G123" s="1" t="s">
        <v>13</v>
      </c>
      <c r="H123" s="1"/>
      <c r="I123" s="1"/>
    </row>
    <row r="124" spans="3:9" x14ac:dyDescent="0.25">
      <c r="C124" s="1">
        <v>7000368</v>
      </c>
      <c r="D124" s="1">
        <v>1531</v>
      </c>
      <c r="E124" s="1" t="s">
        <v>129</v>
      </c>
      <c r="F124" s="1">
        <v>0</v>
      </c>
      <c r="G124" s="1" t="s">
        <v>13</v>
      </c>
      <c r="H124" s="1"/>
      <c r="I124" s="1"/>
    </row>
    <row r="125" spans="3:9" x14ac:dyDescent="0.25">
      <c r="C125" s="1">
        <v>7000373</v>
      </c>
      <c r="D125" s="1">
        <v>1531</v>
      </c>
      <c r="E125" s="1" t="s">
        <v>130</v>
      </c>
      <c r="F125" s="1">
        <v>0</v>
      </c>
      <c r="G125" s="1" t="s">
        <v>13</v>
      </c>
      <c r="H125" s="1"/>
      <c r="I125" s="1"/>
    </row>
    <row r="126" spans="3:9" x14ac:dyDescent="0.25">
      <c r="C126" s="1">
        <v>7000374</v>
      </c>
      <c r="D126" s="1">
        <v>1531</v>
      </c>
      <c r="E126" s="1" t="s">
        <v>131</v>
      </c>
      <c r="F126" s="1">
        <v>0</v>
      </c>
      <c r="G126" s="1" t="s">
        <v>13</v>
      </c>
      <c r="H126" s="1"/>
      <c r="I126" s="1"/>
    </row>
    <row r="127" spans="3:9" x14ac:dyDescent="0.25">
      <c r="C127" s="1">
        <v>7000377</v>
      </c>
      <c r="D127" s="1">
        <v>1531</v>
      </c>
      <c r="E127" s="1" t="s">
        <v>132</v>
      </c>
      <c r="F127" s="1">
        <v>0</v>
      </c>
      <c r="G127" s="1" t="s">
        <v>13</v>
      </c>
      <c r="H127" s="1"/>
      <c r="I127" s="1"/>
    </row>
    <row r="128" spans="3:9" x14ac:dyDescent="0.25">
      <c r="C128" s="1">
        <v>7000392</v>
      </c>
      <c r="D128" s="1">
        <v>1531</v>
      </c>
      <c r="E128" s="1" t="s">
        <v>133</v>
      </c>
      <c r="F128" s="1">
        <v>0</v>
      </c>
      <c r="G128" s="1" t="s">
        <v>13</v>
      </c>
      <c r="H128" s="1"/>
      <c r="I128" s="1"/>
    </row>
    <row r="129" spans="3:9" x14ac:dyDescent="0.25">
      <c r="C129" s="1">
        <v>7000393</v>
      </c>
      <c r="D129" s="1">
        <v>1531</v>
      </c>
      <c r="E129" s="1" t="s">
        <v>134</v>
      </c>
      <c r="F129" s="1">
        <v>0</v>
      </c>
      <c r="G129" s="1" t="s">
        <v>13</v>
      </c>
      <c r="H129" s="1"/>
      <c r="I129" s="1"/>
    </row>
    <row r="130" spans="3:9" x14ac:dyDescent="0.25">
      <c r="C130" s="1">
        <v>7000397</v>
      </c>
      <c r="D130" s="1">
        <v>1531</v>
      </c>
      <c r="E130" s="1" t="s">
        <v>135</v>
      </c>
      <c r="F130" s="1">
        <v>0</v>
      </c>
      <c r="G130" s="1" t="s">
        <v>13</v>
      </c>
      <c r="H130" s="1"/>
      <c r="I130" s="1"/>
    </row>
    <row r="131" spans="3:9" x14ac:dyDescent="0.25">
      <c r="C131" s="1">
        <v>7000402</v>
      </c>
      <c r="D131" s="1">
        <v>1531</v>
      </c>
      <c r="E131" s="1" t="s">
        <v>136</v>
      </c>
      <c r="F131" s="1">
        <v>0</v>
      </c>
      <c r="G131" s="1" t="s">
        <v>13</v>
      </c>
      <c r="H131" s="1"/>
      <c r="I131" s="1"/>
    </row>
    <row r="132" spans="3:9" x14ac:dyDescent="0.25">
      <c r="C132" s="1">
        <v>7000407</v>
      </c>
      <c r="D132" s="1">
        <v>1531</v>
      </c>
      <c r="E132" s="1" t="s">
        <v>137</v>
      </c>
      <c r="F132" s="1">
        <v>0</v>
      </c>
      <c r="G132" s="1" t="s">
        <v>13</v>
      </c>
      <c r="H132" s="1"/>
      <c r="I132" s="1"/>
    </row>
    <row r="133" spans="3:9" x14ac:dyDescent="0.25">
      <c r="C133" s="1">
        <v>7000409</v>
      </c>
      <c r="D133" s="1">
        <v>1531</v>
      </c>
      <c r="E133" s="1" t="s">
        <v>138</v>
      </c>
      <c r="F133" s="1">
        <v>0</v>
      </c>
      <c r="G133" s="1" t="s">
        <v>13</v>
      </c>
      <c r="H133" s="1"/>
      <c r="I133" s="1"/>
    </row>
    <row r="134" spans="3:9" x14ac:dyDescent="0.25">
      <c r="C134" s="1">
        <v>7000411</v>
      </c>
      <c r="D134" s="1">
        <v>1531</v>
      </c>
      <c r="E134" s="1" t="s">
        <v>139</v>
      </c>
      <c r="F134" s="1">
        <v>0</v>
      </c>
      <c r="G134" s="1" t="s">
        <v>13</v>
      </c>
      <c r="H134" s="1"/>
      <c r="I134" s="1"/>
    </row>
    <row r="135" spans="3:9" x14ac:dyDescent="0.25">
      <c r="C135" s="1">
        <v>7000413</v>
      </c>
      <c r="D135" s="1">
        <v>1531</v>
      </c>
      <c r="E135" s="1" t="s">
        <v>140</v>
      </c>
      <c r="F135" s="1">
        <v>0</v>
      </c>
      <c r="G135" s="1" t="s">
        <v>13</v>
      </c>
      <c r="H135" s="1"/>
      <c r="I135" s="1"/>
    </row>
    <row r="136" spans="3:9" x14ac:dyDescent="0.25">
      <c r="C136" s="1">
        <v>7000415</v>
      </c>
      <c r="D136" s="1">
        <v>1531</v>
      </c>
      <c r="E136" s="1" t="s">
        <v>141</v>
      </c>
      <c r="F136" s="1">
        <v>0</v>
      </c>
      <c r="G136" s="1" t="s">
        <v>13</v>
      </c>
      <c r="H136" s="1"/>
      <c r="I136" s="1"/>
    </row>
    <row r="137" spans="3:9" x14ac:dyDescent="0.25">
      <c r="C137" s="1">
        <v>7000417</v>
      </c>
      <c r="D137" s="1">
        <v>1531</v>
      </c>
      <c r="E137" s="1" t="s">
        <v>142</v>
      </c>
      <c r="F137" s="1">
        <v>0</v>
      </c>
      <c r="G137" s="1" t="s">
        <v>13</v>
      </c>
      <c r="H137" s="1"/>
      <c r="I137" s="1"/>
    </row>
    <row r="138" spans="3:9" x14ac:dyDescent="0.25">
      <c r="C138" s="1">
        <v>7000418</v>
      </c>
      <c r="D138" s="1">
        <v>1531</v>
      </c>
      <c r="E138" s="1" t="s">
        <v>143</v>
      </c>
      <c r="F138" s="1">
        <v>0</v>
      </c>
      <c r="G138" s="1" t="s">
        <v>13</v>
      </c>
      <c r="H138" s="1"/>
      <c r="I138" s="1"/>
    </row>
    <row r="139" spans="3:9" x14ac:dyDescent="0.25">
      <c r="C139" s="1">
        <v>7000419</v>
      </c>
      <c r="D139" s="1">
        <v>1531</v>
      </c>
      <c r="E139" s="1" t="s">
        <v>144</v>
      </c>
      <c r="F139" s="1">
        <v>0</v>
      </c>
      <c r="G139" s="1" t="s">
        <v>13</v>
      </c>
      <c r="H139" s="1"/>
      <c r="I139" s="1"/>
    </row>
    <row r="140" spans="3:9" x14ac:dyDescent="0.25">
      <c r="C140" s="1">
        <v>7000420</v>
      </c>
      <c r="D140" s="1">
        <v>1531</v>
      </c>
      <c r="E140" s="1" t="s">
        <v>145</v>
      </c>
      <c r="F140" s="1">
        <v>0</v>
      </c>
      <c r="G140" s="1" t="s">
        <v>13</v>
      </c>
      <c r="H140" s="1"/>
      <c r="I140" s="1"/>
    </row>
    <row r="141" spans="3:9" x14ac:dyDescent="0.25">
      <c r="C141" s="1">
        <v>7000422</v>
      </c>
      <c r="D141" s="1">
        <v>1531</v>
      </c>
      <c r="E141" s="1" t="s">
        <v>146</v>
      </c>
      <c r="F141" s="1">
        <v>0</v>
      </c>
      <c r="G141" s="1" t="s">
        <v>13</v>
      </c>
      <c r="H141" s="1"/>
      <c r="I141" s="1"/>
    </row>
    <row r="142" spans="3:9" x14ac:dyDescent="0.25">
      <c r="C142" s="1">
        <v>7000424</v>
      </c>
      <c r="D142" s="1">
        <v>1531</v>
      </c>
      <c r="E142" s="1" t="s">
        <v>147</v>
      </c>
      <c r="F142" s="1">
        <v>0</v>
      </c>
      <c r="G142" s="1" t="s">
        <v>13</v>
      </c>
      <c r="H142" s="1"/>
      <c r="I142" s="1"/>
    </row>
    <row r="143" spans="3:9" x14ac:dyDescent="0.25">
      <c r="C143" s="1">
        <v>7000428</v>
      </c>
      <c r="D143" s="1">
        <v>1531</v>
      </c>
      <c r="E143" s="1" t="s">
        <v>148</v>
      </c>
      <c r="F143" s="1">
        <v>0</v>
      </c>
      <c r="G143" s="1" t="s">
        <v>13</v>
      </c>
      <c r="H143" s="1"/>
      <c r="I143" s="1"/>
    </row>
    <row r="144" spans="3:9" x14ac:dyDescent="0.25">
      <c r="C144" s="1">
        <v>7000429</v>
      </c>
      <c r="D144" s="1">
        <v>1531</v>
      </c>
      <c r="E144" s="1" t="s">
        <v>149</v>
      </c>
      <c r="F144" s="1">
        <v>0</v>
      </c>
      <c r="G144" s="1" t="s">
        <v>13</v>
      </c>
      <c r="H144" s="1"/>
      <c r="I144" s="1"/>
    </row>
    <row r="145" spans="3:9" x14ac:dyDescent="0.25">
      <c r="C145" s="1">
        <v>7000430</v>
      </c>
      <c r="D145" s="1">
        <v>1531</v>
      </c>
      <c r="E145" s="1" t="s">
        <v>150</v>
      </c>
      <c r="F145" s="1">
        <v>0</v>
      </c>
      <c r="G145" s="1" t="s">
        <v>13</v>
      </c>
      <c r="H145" s="1"/>
      <c r="I145" s="1"/>
    </row>
    <row r="146" spans="3:9" x14ac:dyDescent="0.25">
      <c r="C146" s="1">
        <v>7000431</v>
      </c>
      <c r="D146" s="1">
        <v>1531</v>
      </c>
      <c r="E146" s="1" t="s">
        <v>151</v>
      </c>
      <c r="F146" s="1">
        <v>0</v>
      </c>
      <c r="G146" s="1" t="s">
        <v>13</v>
      </c>
      <c r="H146" s="1"/>
      <c r="I146" s="1"/>
    </row>
    <row r="147" spans="3:9" x14ac:dyDescent="0.25">
      <c r="C147" s="1">
        <v>7000432</v>
      </c>
      <c r="D147" s="1">
        <v>1531</v>
      </c>
      <c r="E147" s="1" t="s">
        <v>152</v>
      </c>
      <c r="F147" s="1">
        <v>0</v>
      </c>
      <c r="G147" s="1" t="s">
        <v>13</v>
      </c>
      <c r="H147" s="1"/>
      <c r="I147" s="1"/>
    </row>
    <row r="148" spans="3:9" x14ac:dyDescent="0.25">
      <c r="C148" s="1">
        <v>7000435</v>
      </c>
      <c r="D148" s="1">
        <v>1531</v>
      </c>
      <c r="E148" s="1" t="s">
        <v>153</v>
      </c>
      <c r="F148" s="1">
        <v>0</v>
      </c>
      <c r="G148" s="1" t="s">
        <v>13</v>
      </c>
      <c r="H148" s="1"/>
      <c r="I148" s="1"/>
    </row>
    <row r="149" spans="3:9" x14ac:dyDescent="0.25">
      <c r="C149" s="1">
        <v>7000440</v>
      </c>
      <c r="D149" s="1">
        <v>1531</v>
      </c>
      <c r="E149" s="1" t="s">
        <v>154</v>
      </c>
      <c r="F149" s="1">
        <v>0</v>
      </c>
      <c r="G149" s="1" t="s">
        <v>13</v>
      </c>
      <c r="H149" s="1"/>
      <c r="I149" s="1"/>
    </row>
    <row r="150" spans="3:9" x14ac:dyDescent="0.25">
      <c r="C150" s="1">
        <v>7000444</v>
      </c>
      <c r="D150" s="1">
        <v>1531</v>
      </c>
      <c r="E150" s="1" t="s">
        <v>155</v>
      </c>
      <c r="F150" s="1">
        <v>0</v>
      </c>
      <c r="G150" s="1" t="s">
        <v>13</v>
      </c>
      <c r="H150" s="1"/>
      <c r="I150" s="1"/>
    </row>
    <row r="151" spans="3:9" x14ac:dyDescent="0.25">
      <c r="C151" s="1">
        <v>7000445</v>
      </c>
      <c r="D151" s="1">
        <v>1531</v>
      </c>
      <c r="E151" s="1" t="s">
        <v>156</v>
      </c>
      <c r="F151" s="1">
        <v>0</v>
      </c>
      <c r="G151" s="1" t="s">
        <v>13</v>
      </c>
      <c r="H151" s="1"/>
      <c r="I151" s="1"/>
    </row>
    <row r="152" spans="3:9" x14ac:dyDescent="0.25">
      <c r="C152" s="1">
        <v>7000446</v>
      </c>
      <c r="D152" s="1">
        <v>1531</v>
      </c>
      <c r="E152" s="1" t="s">
        <v>157</v>
      </c>
      <c r="F152" s="1">
        <v>0</v>
      </c>
      <c r="G152" s="1" t="s">
        <v>13</v>
      </c>
      <c r="H152" s="1"/>
      <c r="I152" s="1"/>
    </row>
    <row r="153" spans="3:9" x14ac:dyDescent="0.25">
      <c r="C153" s="1">
        <v>7000447</v>
      </c>
      <c r="D153" s="1">
        <v>1531</v>
      </c>
      <c r="E153" s="1" t="s">
        <v>158</v>
      </c>
      <c r="F153" s="1">
        <v>0</v>
      </c>
      <c r="G153" s="1" t="s">
        <v>13</v>
      </c>
      <c r="H153" s="1"/>
      <c r="I153" s="1"/>
    </row>
    <row r="154" spans="3:9" x14ac:dyDescent="0.25">
      <c r="C154" s="1">
        <v>7000449</v>
      </c>
      <c r="D154" s="1">
        <v>1531</v>
      </c>
      <c r="E154" s="1" t="s">
        <v>159</v>
      </c>
      <c r="F154" s="1">
        <v>0</v>
      </c>
      <c r="G154" s="1" t="s">
        <v>13</v>
      </c>
      <c r="H154" s="1"/>
      <c r="I154" s="1"/>
    </row>
    <row r="155" spans="3:9" x14ac:dyDescent="0.25">
      <c r="C155" s="1">
        <v>7000456</v>
      </c>
      <c r="D155" s="1">
        <v>1531</v>
      </c>
      <c r="E155" s="1" t="s">
        <v>160</v>
      </c>
      <c r="F155" s="1">
        <v>0</v>
      </c>
      <c r="G155" s="1" t="s">
        <v>13</v>
      </c>
      <c r="H155" s="1"/>
      <c r="I155" s="1"/>
    </row>
    <row r="156" spans="3:9" x14ac:dyDescent="0.25">
      <c r="C156" s="1">
        <v>7000481</v>
      </c>
      <c r="D156" s="1">
        <v>1531</v>
      </c>
      <c r="E156" s="1" t="s">
        <v>161</v>
      </c>
      <c r="F156" s="1">
        <v>0</v>
      </c>
      <c r="G156" s="1" t="s">
        <v>13</v>
      </c>
      <c r="H156" s="1"/>
      <c r="I156" s="1"/>
    </row>
    <row r="157" spans="3:9" x14ac:dyDescent="0.25">
      <c r="C157" s="1">
        <v>7000482</v>
      </c>
      <c r="D157" s="1">
        <v>1531</v>
      </c>
      <c r="E157" s="1" t="s">
        <v>162</v>
      </c>
      <c r="F157" s="1">
        <v>0</v>
      </c>
      <c r="G157" s="1" t="s">
        <v>13</v>
      </c>
      <c r="H157" s="1"/>
      <c r="I157" s="1"/>
    </row>
    <row r="158" spans="3:9" x14ac:dyDescent="0.25">
      <c r="C158" s="1">
        <v>7000484</v>
      </c>
      <c r="D158" s="1">
        <v>1531</v>
      </c>
      <c r="E158" s="1" t="s">
        <v>163</v>
      </c>
      <c r="F158" s="1">
        <v>0</v>
      </c>
      <c r="G158" s="1" t="s">
        <v>13</v>
      </c>
      <c r="H158" s="1"/>
      <c r="I158" s="1"/>
    </row>
    <row r="159" spans="3:9" x14ac:dyDescent="0.25">
      <c r="C159" s="1">
        <v>7000486</v>
      </c>
      <c r="D159" s="1">
        <v>1531</v>
      </c>
      <c r="E159" s="1" t="s">
        <v>164</v>
      </c>
      <c r="F159" s="1">
        <v>0</v>
      </c>
      <c r="G159" s="1" t="s">
        <v>13</v>
      </c>
      <c r="H159" s="1"/>
      <c r="I159" s="1"/>
    </row>
    <row r="160" spans="3:9" x14ac:dyDescent="0.25">
      <c r="C160" s="1">
        <v>7000489</v>
      </c>
      <c r="D160" s="1">
        <v>1531</v>
      </c>
      <c r="E160" s="1" t="s">
        <v>165</v>
      </c>
      <c r="F160" s="1">
        <v>0</v>
      </c>
      <c r="G160" s="1" t="s">
        <v>13</v>
      </c>
      <c r="H160" s="1"/>
      <c r="I160" s="1"/>
    </row>
    <row r="161" spans="3:9" x14ac:dyDescent="0.25">
      <c r="C161" s="1">
        <v>7000490</v>
      </c>
      <c r="D161" s="1">
        <v>1531</v>
      </c>
      <c r="E161" s="1" t="s">
        <v>166</v>
      </c>
      <c r="F161" s="1">
        <v>0</v>
      </c>
      <c r="G161" s="1" t="s">
        <v>13</v>
      </c>
      <c r="H161" s="1"/>
      <c r="I161" s="1"/>
    </row>
    <row r="162" spans="3:9" x14ac:dyDescent="0.25">
      <c r="C162" s="1">
        <v>7000491</v>
      </c>
      <c r="D162" s="1">
        <v>1531</v>
      </c>
      <c r="E162" s="1" t="s">
        <v>167</v>
      </c>
      <c r="F162" s="1">
        <v>0</v>
      </c>
      <c r="G162" s="1" t="s">
        <v>13</v>
      </c>
      <c r="H162" s="1"/>
      <c r="I162" s="1"/>
    </row>
    <row r="163" spans="3:9" x14ac:dyDescent="0.25">
      <c r="C163" s="1">
        <v>7000500</v>
      </c>
      <c r="D163" s="1">
        <v>1531</v>
      </c>
      <c r="E163" s="1" t="s">
        <v>168</v>
      </c>
      <c r="F163" s="1">
        <v>0</v>
      </c>
      <c r="G163" s="1" t="s">
        <v>13</v>
      </c>
      <c r="H163" s="1"/>
      <c r="I163" s="1"/>
    </row>
    <row r="164" spans="3:9" x14ac:dyDescent="0.25">
      <c r="C164" s="1">
        <v>7000501</v>
      </c>
      <c r="D164" s="1">
        <v>1531</v>
      </c>
      <c r="E164" s="1" t="s">
        <v>169</v>
      </c>
      <c r="F164" s="1">
        <v>0</v>
      </c>
      <c r="G164" s="1" t="s">
        <v>13</v>
      </c>
      <c r="H164" s="1"/>
      <c r="I164" s="1"/>
    </row>
    <row r="165" spans="3:9" x14ac:dyDescent="0.25">
      <c r="C165" s="1">
        <v>7000503</v>
      </c>
      <c r="D165" s="1">
        <v>1531</v>
      </c>
      <c r="E165" s="1" t="s">
        <v>170</v>
      </c>
      <c r="F165" s="1">
        <v>0</v>
      </c>
      <c r="G165" s="1" t="s">
        <v>13</v>
      </c>
      <c r="H165" s="1"/>
      <c r="I165" s="1"/>
    </row>
    <row r="166" spans="3:9" x14ac:dyDescent="0.25">
      <c r="C166" s="1">
        <v>7000514</v>
      </c>
      <c r="D166" s="1">
        <v>1531</v>
      </c>
      <c r="E166" s="1" t="s">
        <v>171</v>
      </c>
      <c r="F166" s="1">
        <v>0</v>
      </c>
      <c r="G166" s="1" t="s">
        <v>8</v>
      </c>
      <c r="H166" s="1"/>
      <c r="I166" s="1"/>
    </row>
    <row r="167" spans="3:9" x14ac:dyDescent="0.25">
      <c r="C167" s="1">
        <v>7000521</v>
      </c>
      <c r="D167" s="1">
        <v>1531</v>
      </c>
      <c r="E167" s="1" t="s">
        <v>172</v>
      </c>
      <c r="F167" s="1">
        <v>0</v>
      </c>
      <c r="G167" s="1" t="s">
        <v>13</v>
      </c>
      <c r="H167" s="1"/>
      <c r="I167" s="1"/>
    </row>
    <row r="168" spans="3:9" x14ac:dyDescent="0.25">
      <c r="C168" s="1">
        <v>7000541</v>
      </c>
      <c r="D168" s="1">
        <v>1531</v>
      </c>
      <c r="E168" s="1" t="s">
        <v>173</v>
      </c>
      <c r="F168" s="1">
        <v>0</v>
      </c>
      <c r="G168" s="1" t="s">
        <v>13</v>
      </c>
      <c r="H168" s="1"/>
      <c r="I168" s="1"/>
    </row>
    <row r="169" spans="3:9" x14ac:dyDescent="0.25">
      <c r="C169" s="1">
        <v>7000543</v>
      </c>
      <c r="D169" s="1">
        <v>1531</v>
      </c>
      <c r="E169" s="1" t="s">
        <v>174</v>
      </c>
      <c r="F169" s="1">
        <v>0</v>
      </c>
      <c r="G169" s="1" t="s">
        <v>13</v>
      </c>
      <c r="H169" s="1"/>
      <c r="I169" s="1"/>
    </row>
    <row r="170" spans="3:9" x14ac:dyDescent="0.25">
      <c r="C170" s="1">
        <v>7000555</v>
      </c>
      <c r="D170" s="1">
        <v>1531</v>
      </c>
      <c r="E170" s="1" t="s">
        <v>175</v>
      </c>
      <c r="F170" s="1">
        <v>0</v>
      </c>
      <c r="G170" s="1" t="s">
        <v>13</v>
      </c>
      <c r="H170" s="1"/>
      <c r="I170" s="1"/>
    </row>
    <row r="171" spans="3:9" x14ac:dyDescent="0.25">
      <c r="C171" s="1">
        <v>7000564</v>
      </c>
      <c r="D171" s="1">
        <v>1531</v>
      </c>
      <c r="E171" s="1" t="s">
        <v>176</v>
      </c>
      <c r="F171" s="1">
        <v>0</v>
      </c>
      <c r="G171" s="1" t="s">
        <v>13</v>
      </c>
      <c r="H171" s="1"/>
      <c r="I171" s="1"/>
    </row>
    <row r="172" spans="3:9" x14ac:dyDescent="0.25">
      <c r="C172" s="1">
        <v>7000572</v>
      </c>
      <c r="D172" s="1">
        <v>1531</v>
      </c>
      <c r="E172" s="1" t="s">
        <v>177</v>
      </c>
      <c r="F172" s="1">
        <v>0</v>
      </c>
      <c r="G172" s="1" t="s">
        <v>96</v>
      </c>
      <c r="H172" s="1"/>
      <c r="I172" s="1"/>
    </row>
    <row r="173" spans="3:9" x14ac:dyDescent="0.25">
      <c r="C173" s="1">
        <v>7000574</v>
      </c>
      <c r="D173" s="1">
        <v>1531</v>
      </c>
      <c r="E173" s="1" t="s">
        <v>178</v>
      </c>
      <c r="F173" s="1">
        <v>28512</v>
      </c>
      <c r="G173" s="1" t="s">
        <v>96</v>
      </c>
      <c r="H173" s="1"/>
      <c r="I173" s="1"/>
    </row>
    <row r="174" spans="3:9" x14ac:dyDescent="0.25">
      <c r="C174" s="1">
        <v>7000575</v>
      </c>
      <c r="D174" s="1">
        <v>1531</v>
      </c>
      <c r="E174" s="1" t="s">
        <v>179</v>
      </c>
      <c r="F174" s="1">
        <v>0</v>
      </c>
      <c r="G174" s="1" t="s">
        <v>96</v>
      </c>
      <c r="H174" s="1"/>
      <c r="I174" s="1"/>
    </row>
    <row r="175" spans="3:9" x14ac:dyDescent="0.25">
      <c r="C175" s="1">
        <v>7000577</v>
      </c>
      <c r="D175" s="1">
        <v>1531</v>
      </c>
      <c r="E175" s="1" t="s">
        <v>180</v>
      </c>
      <c r="F175" s="1">
        <v>0</v>
      </c>
      <c r="G175" s="1" t="s">
        <v>96</v>
      </c>
      <c r="H175" s="1"/>
      <c r="I175" s="1"/>
    </row>
    <row r="176" spans="3:9" x14ac:dyDescent="0.25">
      <c r="C176" s="1">
        <v>7000578</v>
      </c>
      <c r="D176" s="1">
        <v>1531</v>
      </c>
      <c r="E176" s="1" t="s">
        <v>181</v>
      </c>
      <c r="F176" s="1">
        <v>0</v>
      </c>
      <c r="G176" s="1" t="s">
        <v>96</v>
      </c>
      <c r="H176" s="1"/>
      <c r="I176" s="1"/>
    </row>
    <row r="177" spans="3:9" x14ac:dyDescent="0.25">
      <c r="C177" s="1">
        <v>7000579</v>
      </c>
      <c r="D177" s="1">
        <v>1531</v>
      </c>
      <c r="E177" s="1" t="s">
        <v>182</v>
      </c>
      <c r="F177" s="1">
        <v>0</v>
      </c>
      <c r="G177" s="1" t="s">
        <v>96</v>
      </c>
      <c r="H177" s="1"/>
      <c r="I177" s="1"/>
    </row>
    <row r="178" spans="3:9" x14ac:dyDescent="0.25">
      <c r="C178" s="1">
        <v>7000580</v>
      </c>
      <c r="D178" s="1">
        <v>1531</v>
      </c>
      <c r="E178" s="1" t="s">
        <v>183</v>
      </c>
      <c r="F178" s="1">
        <v>58445.4</v>
      </c>
      <c r="G178" s="1" t="s">
        <v>96</v>
      </c>
      <c r="H178" s="1"/>
      <c r="I178" s="1"/>
    </row>
    <row r="179" spans="3:9" x14ac:dyDescent="0.25">
      <c r="C179" s="1">
        <v>7000581</v>
      </c>
      <c r="D179" s="1">
        <v>1531</v>
      </c>
      <c r="E179" s="1" t="s">
        <v>184</v>
      </c>
      <c r="F179" s="1">
        <v>0</v>
      </c>
      <c r="G179" s="1" t="s">
        <v>96</v>
      </c>
      <c r="H179" s="1"/>
      <c r="I179" s="1"/>
    </row>
    <row r="180" spans="3:9" x14ac:dyDescent="0.25">
      <c r="C180" s="1">
        <v>7000582</v>
      </c>
      <c r="D180" s="1">
        <v>1531</v>
      </c>
      <c r="E180" s="1" t="s">
        <v>185</v>
      </c>
      <c r="F180" s="1">
        <v>0</v>
      </c>
      <c r="G180" s="1" t="s">
        <v>96</v>
      </c>
      <c r="H180" s="1"/>
      <c r="I180" s="1"/>
    </row>
    <row r="181" spans="3:9" x14ac:dyDescent="0.25">
      <c r="C181" s="1">
        <v>7000583</v>
      </c>
      <c r="D181" s="1">
        <v>1531</v>
      </c>
      <c r="E181" s="1" t="s">
        <v>186</v>
      </c>
      <c r="F181" s="1">
        <v>0</v>
      </c>
      <c r="G181" s="1" t="s">
        <v>96</v>
      </c>
      <c r="H181" s="1"/>
      <c r="I181" s="1"/>
    </row>
    <row r="182" spans="3:9" x14ac:dyDescent="0.25">
      <c r="C182" s="1">
        <v>7000584</v>
      </c>
      <c r="D182" s="1">
        <v>1531</v>
      </c>
      <c r="E182" s="1" t="s">
        <v>187</v>
      </c>
      <c r="F182" s="1">
        <v>0</v>
      </c>
      <c r="G182" s="1" t="s">
        <v>96</v>
      </c>
      <c r="H182" s="1"/>
      <c r="I182" s="1"/>
    </row>
    <row r="183" spans="3:9" x14ac:dyDescent="0.25">
      <c r="C183" s="1">
        <v>7000586</v>
      </c>
      <c r="D183" s="1">
        <v>1531</v>
      </c>
      <c r="E183" s="1" t="s">
        <v>188</v>
      </c>
      <c r="F183" s="1">
        <v>0</v>
      </c>
      <c r="G183" s="1" t="s">
        <v>96</v>
      </c>
      <c r="H183" s="1"/>
      <c r="I183" s="1"/>
    </row>
    <row r="184" spans="3:9" x14ac:dyDescent="0.25">
      <c r="C184" s="1">
        <v>7000587</v>
      </c>
      <c r="D184" s="1">
        <v>1531</v>
      </c>
      <c r="E184" s="1" t="s">
        <v>189</v>
      </c>
      <c r="F184" s="1">
        <v>83210.399999999994</v>
      </c>
      <c r="G184" s="1" t="s">
        <v>96</v>
      </c>
      <c r="H184" s="1"/>
      <c r="I184" s="1"/>
    </row>
    <row r="185" spans="3:9" x14ac:dyDescent="0.25">
      <c r="C185" s="1">
        <v>7000588</v>
      </c>
      <c r="D185" s="1">
        <v>1531</v>
      </c>
      <c r="E185" s="1" t="s">
        <v>190</v>
      </c>
      <c r="F185" s="1">
        <v>0</v>
      </c>
      <c r="G185" s="1" t="s">
        <v>96</v>
      </c>
      <c r="H185" s="1"/>
      <c r="I185" s="1"/>
    </row>
    <row r="186" spans="3:9" x14ac:dyDescent="0.25">
      <c r="C186" s="1">
        <v>7000589</v>
      </c>
      <c r="D186" s="1">
        <v>1531</v>
      </c>
      <c r="E186" s="1" t="s">
        <v>191</v>
      </c>
      <c r="F186" s="1">
        <v>0</v>
      </c>
      <c r="G186" s="1" t="s">
        <v>96</v>
      </c>
      <c r="H186" s="1"/>
      <c r="I186" s="1"/>
    </row>
    <row r="187" spans="3:9" x14ac:dyDescent="0.25">
      <c r="C187" s="1">
        <v>7000591</v>
      </c>
      <c r="D187" s="1">
        <v>1531</v>
      </c>
      <c r="E187" s="1" t="s">
        <v>192</v>
      </c>
      <c r="F187" s="1">
        <v>0</v>
      </c>
      <c r="G187" s="1" t="s">
        <v>96</v>
      </c>
      <c r="H187" s="1"/>
      <c r="I187" s="1"/>
    </row>
    <row r="188" spans="3:9" x14ac:dyDescent="0.25">
      <c r="C188" s="1">
        <v>7000592</v>
      </c>
      <c r="D188" s="1">
        <v>1531</v>
      </c>
      <c r="E188" s="1" t="s">
        <v>193</v>
      </c>
      <c r="F188" s="1">
        <v>0</v>
      </c>
      <c r="G188" s="1" t="s">
        <v>96</v>
      </c>
      <c r="H188" s="1"/>
      <c r="I188" s="1"/>
    </row>
    <row r="189" spans="3:9" x14ac:dyDescent="0.25">
      <c r="C189" s="1">
        <v>7000595</v>
      </c>
      <c r="D189" s="1">
        <v>1531</v>
      </c>
      <c r="E189" s="1" t="s">
        <v>194</v>
      </c>
      <c r="F189" s="1">
        <v>0</v>
      </c>
      <c r="G189" s="1" t="s">
        <v>96</v>
      </c>
      <c r="H189" s="1"/>
      <c r="I189" s="1"/>
    </row>
    <row r="190" spans="3:9" x14ac:dyDescent="0.25">
      <c r="C190" s="1">
        <v>7000596</v>
      </c>
      <c r="D190" s="1">
        <v>1531</v>
      </c>
      <c r="E190" s="1" t="s">
        <v>195</v>
      </c>
      <c r="F190" s="1">
        <v>0</v>
      </c>
      <c r="G190" s="1" t="s">
        <v>96</v>
      </c>
      <c r="H190" s="1"/>
      <c r="I190" s="1"/>
    </row>
    <row r="191" spans="3:9" x14ac:dyDescent="0.25">
      <c r="C191" s="1">
        <v>7000597</v>
      </c>
      <c r="D191" s="1">
        <v>1531</v>
      </c>
      <c r="E191" s="1" t="s">
        <v>196</v>
      </c>
      <c r="F191" s="1">
        <v>0</v>
      </c>
      <c r="G191" s="1" t="s">
        <v>96</v>
      </c>
      <c r="H191" s="1"/>
      <c r="I191" s="1"/>
    </row>
    <row r="192" spans="3:9" x14ac:dyDescent="0.25">
      <c r="C192" s="1">
        <v>7000598</v>
      </c>
      <c r="D192" s="1">
        <v>1531</v>
      </c>
      <c r="E192" s="1" t="s">
        <v>197</v>
      </c>
      <c r="F192" s="1">
        <v>0</v>
      </c>
      <c r="G192" s="1" t="s">
        <v>96</v>
      </c>
      <c r="H192" s="1"/>
      <c r="I192" s="1"/>
    </row>
    <row r="193" spans="3:9" x14ac:dyDescent="0.25">
      <c r="C193" s="1">
        <v>7000599</v>
      </c>
      <c r="D193" s="1">
        <v>1531</v>
      </c>
      <c r="E193" s="1" t="s">
        <v>198</v>
      </c>
      <c r="F193" s="1">
        <v>0</v>
      </c>
      <c r="G193" s="1" t="s">
        <v>96</v>
      </c>
      <c r="H193" s="1"/>
      <c r="I193" s="1"/>
    </row>
    <row r="194" spans="3:9" x14ac:dyDescent="0.25">
      <c r="C194" s="1">
        <v>7000602</v>
      </c>
      <c r="D194" s="1">
        <v>1531</v>
      </c>
      <c r="E194" s="1" t="s">
        <v>199</v>
      </c>
      <c r="F194" s="1">
        <v>0</v>
      </c>
      <c r="G194" s="1" t="s">
        <v>96</v>
      </c>
      <c r="H194" s="1"/>
      <c r="I194" s="1"/>
    </row>
    <row r="195" spans="3:9" x14ac:dyDescent="0.25">
      <c r="C195" s="1">
        <v>7000603</v>
      </c>
      <c r="D195" s="1">
        <v>1531</v>
      </c>
      <c r="E195" s="1" t="s">
        <v>200</v>
      </c>
      <c r="F195" s="1">
        <v>0</v>
      </c>
      <c r="G195" s="1" t="s">
        <v>96</v>
      </c>
      <c r="H195" s="1"/>
      <c r="I195" s="1"/>
    </row>
    <row r="196" spans="3:9" x14ac:dyDescent="0.25">
      <c r="C196" s="1">
        <v>7000604</v>
      </c>
      <c r="D196" s="1">
        <v>1531</v>
      </c>
      <c r="E196" s="1" t="s">
        <v>201</v>
      </c>
      <c r="F196" s="1">
        <v>0</v>
      </c>
      <c r="G196" s="1" t="s">
        <v>96</v>
      </c>
      <c r="H196" s="1"/>
      <c r="I196" s="1"/>
    </row>
    <row r="197" spans="3:9" x14ac:dyDescent="0.25">
      <c r="C197" s="1">
        <v>7000609</v>
      </c>
      <c r="D197" s="1">
        <v>1531</v>
      </c>
      <c r="E197" s="1" t="s">
        <v>202</v>
      </c>
      <c r="F197" s="1">
        <v>0</v>
      </c>
      <c r="G197" s="1" t="s">
        <v>96</v>
      </c>
      <c r="H197" s="1"/>
      <c r="I197" s="1"/>
    </row>
    <row r="198" spans="3:9" x14ac:dyDescent="0.25">
      <c r="C198" s="1">
        <v>7000612</v>
      </c>
      <c r="D198" s="1">
        <v>1531</v>
      </c>
      <c r="E198" s="1" t="s">
        <v>203</v>
      </c>
      <c r="F198" s="1">
        <v>0</v>
      </c>
      <c r="G198" s="1" t="s">
        <v>96</v>
      </c>
      <c r="H198" s="1"/>
      <c r="I198" s="1"/>
    </row>
    <row r="199" spans="3:9" x14ac:dyDescent="0.25">
      <c r="C199" s="1">
        <v>7000613</v>
      </c>
      <c r="D199" s="1">
        <v>1531</v>
      </c>
      <c r="E199" s="1" t="s">
        <v>204</v>
      </c>
      <c r="F199" s="1">
        <v>4495.8</v>
      </c>
      <c r="G199" s="1" t="s">
        <v>96</v>
      </c>
      <c r="H199" s="1"/>
      <c r="I199" s="1"/>
    </row>
    <row r="200" spans="3:9" x14ac:dyDescent="0.25">
      <c r="C200" s="1">
        <v>7000616</v>
      </c>
      <c r="D200" s="1">
        <v>1531</v>
      </c>
      <c r="E200" s="1" t="s">
        <v>205</v>
      </c>
      <c r="F200" s="1">
        <v>0</v>
      </c>
      <c r="G200" s="1" t="s">
        <v>96</v>
      </c>
      <c r="H200" s="1"/>
      <c r="I200" s="1"/>
    </row>
    <row r="201" spans="3:9" x14ac:dyDescent="0.25">
      <c r="C201" s="1">
        <v>7000620</v>
      </c>
      <c r="D201" s="1">
        <v>1531</v>
      </c>
      <c r="E201" s="1" t="s">
        <v>206</v>
      </c>
      <c r="F201" s="1">
        <v>0</v>
      </c>
      <c r="G201" s="1" t="s">
        <v>96</v>
      </c>
      <c r="H201" s="1"/>
      <c r="I201" s="1"/>
    </row>
    <row r="202" spans="3:9" x14ac:dyDescent="0.25">
      <c r="C202" s="1">
        <v>7000621</v>
      </c>
      <c r="D202" s="1">
        <v>1531</v>
      </c>
      <c r="E202" s="1" t="s">
        <v>207</v>
      </c>
      <c r="F202" s="1">
        <v>0</v>
      </c>
      <c r="G202" s="1" t="s">
        <v>96</v>
      </c>
      <c r="H202" s="1"/>
      <c r="I202" s="1"/>
    </row>
    <row r="203" spans="3:9" x14ac:dyDescent="0.25">
      <c r="C203" s="1">
        <v>7000622</v>
      </c>
      <c r="D203" s="1">
        <v>1531</v>
      </c>
      <c r="E203" s="1" t="s">
        <v>208</v>
      </c>
      <c r="F203" s="1">
        <v>0</v>
      </c>
      <c r="G203" s="1" t="s">
        <v>96</v>
      </c>
      <c r="H203" s="1"/>
      <c r="I203" s="1"/>
    </row>
    <row r="204" spans="3:9" x14ac:dyDescent="0.25">
      <c r="C204" s="1">
        <v>7000623</v>
      </c>
      <c r="D204" s="1">
        <v>1531</v>
      </c>
      <c r="E204" s="1" t="s">
        <v>209</v>
      </c>
      <c r="F204" s="1">
        <v>0</v>
      </c>
      <c r="G204" s="1" t="s">
        <v>96</v>
      </c>
      <c r="H204" s="1"/>
      <c r="I204" s="1"/>
    </row>
    <row r="205" spans="3:9" x14ac:dyDescent="0.25">
      <c r="C205" s="1">
        <v>7000624</v>
      </c>
      <c r="D205" s="1">
        <v>1531</v>
      </c>
      <c r="E205" s="1" t="s">
        <v>210</v>
      </c>
      <c r="F205" s="1">
        <v>0</v>
      </c>
      <c r="G205" s="1" t="s">
        <v>96</v>
      </c>
      <c r="H205" s="1"/>
      <c r="I205" s="1"/>
    </row>
    <row r="206" spans="3:9" x14ac:dyDescent="0.25">
      <c r="C206" s="1">
        <v>7000625</v>
      </c>
      <c r="D206" s="1">
        <v>1531</v>
      </c>
      <c r="E206" s="1" t="s">
        <v>211</v>
      </c>
      <c r="F206" s="1">
        <v>0</v>
      </c>
      <c r="G206" s="1" t="s">
        <v>96</v>
      </c>
      <c r="H206" s="1"/>
      <c r="I206" s="1"/>
    </row>
    <row r="207" spans="3:9" x14ac:dyDescent="0.25">
      <c r="C207" s="1">
        <v>7000628</v>
      </c>
      <c r="D207" s="1">
        <v>1531</v>
      </c>
      <c r="E207" s="1" t="s">
        <v>212</v>
      </c>
      <c r="F207" s="1">
        <v>0</v>
      </c>
      <c r="G207" s="1" t="s">
        <v>96</v>
      </c>
      <c r="H207" s="1"/>
      <c r="I207" s="1"/>
    </row>
    <row r="208" spans="3:9" x14ac:dyDescent="0.25">
      <c r="C208" s="1">
        <v>7000629</v>
      </c>
      <c r="D208" s="1">
        <v>1531</v>
      </c>
      <c r="E208" s="1" t="s">
        <v>213</v>
      </c>
      <c r="F208" s="1">
        <v>0</v>
      </c>
      <c r="G208" s="1" t="s">
        <v>96</v>
      </c>
      <c r="H208" s="1"/>
      <c r="I208" s="1"/>
    </row>
    <row r="209" spans="3:9" x14ac:dyDescent="0.25">
      <c r="C209" s="1">
        <v>7000631</v>
      </c>
      <c r="D209" s="1">
        <v>1531</v>
      </c>
      <c r="E209" s="1" t="s">
        <v>214</v>
      </c>
      <c r="F209" s="1">
        <v>0</v>
      </c>
      <c r="G209" s="1" t="s">
        <v>96</v>
      </c>
      <c r="H209" s="1"/>
      <c r="I209" s="1"/>
    </row>
    <row r="210" spans="3:9" x14ac:dyDescent="0.25">
      <c r="C210" s="1">
        <v>7000632</v>
      </c>
      <c r="D210" s="1">
        <v>1531</v>
      </c>
      <c r="E210" s="1" t="s">
        <v>215</v>
      </c>
      <c r="F210" s="1">
        <v>31630.832999999999</v>
      </c>
      <c r="G210" s="1" t="s">
        <v>96</v>
      </c>
      <c r="H210" s="1"/>
      <c r="I210" s="1"/>
    </row>
    <row r="211" spans="3:9" x14ac:dyDescent="0.25">
      <c r="C211" s="1">
        <v>7000633</v>
      </c>
      <c r="D211" s="1">
        <v>1531</v>
      </c>
      <c r="E211" s="1" t="s">
        <v>216</v>
      </c>
      <c r="F211" s="1">
        <v>7694.4</v>
      </c>
      <c r="G211" s="1" t="s">
        <v>96</v>
      </c>
      <c r="H211" s="1"/>
      <c r="I211" s="1"/>
    </row>
    <row r="212" spans="3:9" x14ac:dyDescent="0.25">
      <c r="C212" s="1">
        <v>7000634</v>
      </c>
      <c r="D212" s="1">
        <v>1531</v>
      </c>
      <c r="E212" s="1" t="s">
        <v>217</v>
      </c>
      <c r="F212" s="1">
        <v>6903.53</v>
      </c>
      <c r="G212" s="1" t="s">
        <v>96</v>
      </c>
      <c r="H212" s="1"/>
      <c r="I212" s="1"/>
    </row>
    <row r="213" spans="3:9" x14ac:dyDescent="0.25">
      <c r="C213" s="1">
        <v>7000635</v>
      </c>
      <c r="D213" s="1">
        <v>1531</v>
      </c>
      <c r="E213" s="1" t="s">
        <v>218</v>
      </c>
      <c r="F213" s="1">
        <v>0</v>
      </c>
      <c r="G213" s="1" t="s">
        <v>96</v>
      </c>
      <c r="H213" s="1"/>
      <c r="I213" s="1"/>
    </row>
    <row r="214" spans="3:9" x14ac:dyDescent="0.25">
      <c r="C214" s="1">
        <v>7000639</v>
      </c>
      <c r="D214" s="1">
        <v>1531</v>
      </c>
      <c r="E214" s="1" t="s">
        <v>219</v>
      </c>
      <c r="F214" s="1">
        <v>0</v>
      </c>
      <c r="G214" s="1" t="s">
        <v>96</v>
      </c>
      <c r="H214" s="1"/>
      <c r="I214" s="1"/>
    </row>
    <row r="215" spans="3:9" x14ac:dyDescent="0.25">
      <c r="C215" s="1">
        <v>7000640</v>
      </c>
      <c r="D215" s="1">
        <v>1531</v>
      </c>
      <c r="E215" s="1" t="s">
        <v>220</v>
      </c>
      <c r="F215" s="1">
        <v>1052</v>
      </c>
      <c r="G215" s="1" t="s">
        <v>96</v>
      </c>
      <c r="H215" s="1"/>
      <c r="I215" s="1"/>
    </row>
    <row r="216" spans="3:9" x14ac:dyDescent="0.25">
      <c r="C216" s="1">
        <v>7000641</v>
      </c>
      <c r="D216" s="1">
        <v>1531</v>
      </c>
      <c r="E216" s="1" t="s">
        <v>221</v>
      </c>
      <c r="F216" s="1">
        <v>0</v>
      </c>
      <c r="G216" s="1" t="s">
        <v>96</v>
      </c>
      <c r="H216" s="1"/>
      <c r="I216" s="1"/>
    </row>
    <row r="217" spans="3:9" x14ac:dyDescent="0.25">
      <c r="C217" s="1">
        <v>7000642</v>
      </c>
      <c r="D217" s="1">
        <v>1531</v>
      </c>
      <c r="E217" s="1" t="s">
        <v>222</v>
      </c>
      <c r="F217" s="1">
        <v>0</v>
      </c>
      <c r="G217" s="1" t="s">
        <v>96</v>
      </c>
      <c r="H217" s="1"/>
      <c r="I217" s="1"/>
    </row>
    <row r="218" spans="3:9" x14ac:dyDescent="0.25">
      <c r="C218" s="1">
        <v>7000643</v>
      </c>
      <c r="D218" s="1">
        <v>1531</v>
      </c>
      <c r="E218" s="1" t="s">
        <v>223</v>
      </c>
      <c r="F218" s="1">
        <v>0</v>
      </c>
      <c r="G218" s="1" t="s">
        <v>96</v>
      </c>
      <c r="H218" s="1"/>
      <c r="I218" s="1"/>
    </row>
    <row r="219" spans="3:9" x14ac:dyDescent="0.25">
      <c r="C219" s="1">
        <v>7000644</v>
      </c>
      <c r="D219" s="1">
        <v>1531</v>
      </c>
      <c r="E219" s="1" t="s">
        <v>224</v>
      </c>
      <c r="F219" s="1">
        <v>0</v>
      </c>
      <c r="G219" s="1" t="s">
        <v>96</v>
      </c>
      <c r="H219" s="1"/>
      <c r="I219" s="1"/>
    </row>
    <row r="220" spans="3:9" x14ac:dyDescent="0.25">
      <c r="C220" s="1">
        <v>7000645</v>
      </c>
      <c r="D220" s="1">
        <v>1531</v>
      </c>
      <c r="E220" s="1" t="s">
        <v>225</v>
      </c>
      <c r="F220" s="1">
        <v>0</v>
      </c>
      <c r="G220" s="1" t="s">
        <v>96</v>
      </c>
      <c r="H220" s="1"/>
      <c r="I220" s="1"/>
    </row>
    <row r="221" spans="3:9" x14ac:dyDescent="0.25">
      <c r="C221" s="1">
        <v>7000649</v>
      </c>
      <c r="D221" s="1">
        <v>1531</v>
      </c>
      <c r="E221" s="1" t="s">
        <v>226</v>
      </c>
      <c r="F221" s="1">
        <v>0</v>
      </c>
      <c r="G221" s="1" t="s">
        <v>96</v>
      </c>
      <c r="H221" s="1"/>
      <c r="I221" s="1"/>
    </row>
    <row r="222" spans="3:9" x14ac:dyDescent="0.25">
      <c r="C222" s="1">
        <v>7000650</v>
      </c>
      <c r="D222" s="1">
        <v>1531</v>
      </c>
      <c r="E222" s="1" t="s">
        <v>227</v>
      </c>
      <c r="F222" s="1">
        <v>0</v>
      </c>
      <c r="G222" s="1" t="s">
        <v>96</v>
      </c>
      <c r="H222" s="1"/>
      <c r="I222" s="1"/>
    </row>
    <row r="223" spans="3:9" x14ac:dyDescent="0.25">
      <c r="C223" s="1">
        <v>7000651</v>
      </c>
      <c r="D223" s="1">
        <v>1531</v>
      </c>
      <c r="E223" s="1" t="s">
        <v>228</v>
      </c>
      <c r="F223" s="1">
        <v>0</v>
      </c>
      <c r="G223" s="1" t="s">
        <v>96</v>
      </c>
      <c r="H223" s="1"/>
      <c r="I223" s="1"/>
    </row>
    <row r="224" spans="3:9" x14ac:dyDescent="0.25">
      <c r="C224" s="1">
        <v>7000652</v>
      </c>
      <c r="D224" s="1">
        <v>1531</v>
      </c>
      <c r="E224" s="1" t="s">
        <v>229</v>
      </c>
      <c r="F224" s="1">
        <v>0</v>
      </c>
      <c r="G224" s="1" t="s">
        <v>96</v>
      </c>
      <c r="H224" s="1"/>
      <c r="I224" s="1"/>
    </row>
    <row r="225" spans="3:9" x14ac:dyDescent="0.25">
      <c r="C225" s="1">
        <v>7000661</v>
      </c>
      <c r="D225" s="1">
        <v>1531</v>
      </c>
      <c r="E225" s="1" t="s">
        <v>230</v>
      </c>
      <c r="F225" s="1">
        <v>0</v>
      </c>
      <c r="G225" s="1" t="s">
        <v>96</v>
      </c>
      <c r="H225" s="1"/>
      <c r="I225" s="1"/>
    </row>
    <row r="226" spans="3:9" x14ac:dyDescent="0.25">
      <c r="C226" s="1">
        <v>7000664</v>
      </c>
      <c r="D226" s="1">
        <v>1531</v>
      </c>
      <c r="E226" s="1" t="s">
        <v>231</v>
      </c>
      <c r="F226" s="1">
        <v>0</v>
      </c>
      <c r="G226" s="1" t="s">
        <v>96</v>
      </c>
      <c r="H226" s="1"/>
      <c r="I226" s="1"/>
    </row>
    <row r="227" spans="3:9" x14ac:dyDescent="0.25">
      <c r="C227" s="1">
        <v>7000666</v>
      </c>
      <c r="D227" s="1">
        <v>1531</v>
      </c>
      <c r="E227" s="1" t="s">
        <v>232</v>
      </c>
      <c r="F227" s="1">
        <v>24387</v>
      </c>
      <c r="G227" s="1" t="s">
        <v>96</v>
      </c>
      <c r="H227" s="1"/>
      <c r="I227" s="1"/>
    </row>
    <row r="228" spans="3:9" x14ac:dyDescent="0.25">
      <c r="C228" s="1">
        <v>7000668</v>
      </c>
      <c r="D228" s="1">
        <v>1531</v>
      </c>
      <c r="E228" s="1" t="s">
        <v>233</v>
      </c>
      <c r="F228" s="1">
        <v>0</v>
      </c>
      <c r="G228" s="1" t="s">
        <v>96</v>
      </c>
      <c r="H228" s="1"/>
      <c r="I228" s="1"/>
    </row>
    <row r="229" spans="3:9" x14ac:dyDescent="0.25">
      <c r="C229" s="1">
        <v>7000669</v>
      </c>
      <c r="D229" s="1">
        <v>1531</v>
      </c>
      <c r="E229" s="1" t="s">
        <v>234</v>
      </c>
      <c r="F229" s="1">
        <v>0</v>
      </c>
      <c r="G229" s="1" t="s">
        <v>96</v>
      </c>
      <c r="H229" s="1"/>
      <c r="I229" s="1"/>
    </row>
    <row r="230" spans="3:9" x14ac:dyDescent="0.25">
      <c r="C230" s="1">
        <v>7000670</v>
      </c>
      <c r="D230" s="1">
        <v>1531</v>
      </c>
      <c r="E230" s="1" t="s">
        <v>235</v>
      </c>
      <c r="F230" s="1">
        <v>0</v>
      </c>
      <c r="G230" s="1" t="s">
        <v>96</v>
      </c>
      <c r="H230" s="1"/>
      <c r="I230" s="1"/>
    </row>
    <row r="231" spans="3:9" x14ac:dyDescent="0.25">
      <c r="C231" s="1">
        <v>7000671</v>
      </c>
      <c r="D231" s="1">
        <v>1531</v>
      </c>
      <c r="E231" s="1" t="s">
        <v>236</v>
      </c>
      <c r="F231" s="1">
        <v>0</v>
      </c>
      <c r="G231" s="1" t="s">
        <v>96</v>
      </c>
      <c r="H231" s="1"/>
      <c r="I231" s="1"/>
    </row>
    <row r="232" spans="3:9" x14ac:dyDescent="0.25">
      <c r="C232" s="1">
        <v>7000673</v>
      </c>
      <c r="D232" s="1">
        <v>1531</v>
      </c>
      <c r="E232" s="1" t="s">
        <v>237</v>
      </c>
      <c r="F232" s="1">
        <v>0</v>
      </c>
      <c r="G232" s="1" t="s">
        <v>96</v>
      </c>
      <c r="H232" s="1"/>
      <c r="I232" s="1"/>
    </row>
    <row r="233" spans="3:9" x14ac:dyDescent="0.25">
      <c r="C233" s="1">
        <v>7000675</v>
      </c>
      <c r="D233" s="1">
        <v>1531</v>
      </c>
      <c r="E233" s="1" t="s">
        <v>238</v>
      </c>
      <c r="F233" s="1">
        <v>0</v>
      </c>
      <c r="G233" s="1" t="s">
        <v>96</v>
      </c>
      <c r="H233" s="1"/>
      <c r="I233" s="1"/>
    </row>
    <row r="234" spans="3:9" x14ac:dyDescent="0.25">
      <c r="C234" s="1">
        <v>7000676</v>
      </c>
      <c r="D234" s="1">
        <v>1531</v>
      </c>
      <c r="E234" s="1" t="s">
        <v>239</v>
      </c>
      <c r="F234" s="1">
        <v>0</v>
      </c>
      <c r="G234" s="1" t="s">
        <v>96</v>
      </c>
      <c r="H234" s="1"/>
      <c r="I234" s="1"/>
    </row>
    <row r="235" spans="3:9" x14ac:dyDescent="0.25">
      <c r="C235" s="1">
        <v>7000677</v>
      </c>
      <c r="D235" s="1">
        <v>1531</v>
      </c>
      <c r="E235" s="1" t="s">
        <v>240</v>
      </c>
      <c r="F235" s="1">
        <v>0</v>
      </c>
      <c r="G235" s="1" t="s">
        <v>96</v>
      </c>
      <c r="H235" s="1"/>
      <c r="I235" s="1"/>
    </row>
    <row r="236" spans="3:9" x14ac:dyDescent="0.25">
      <c r="C236" s="1">
        <v>7000678</v>
      </c>
      <c r="D236" s="1">
        <v>1531</v>
      </c>
      <c r="E236" s="1" t="s">
        <v>241</v>
      </c>
      <c r="F236" s="1">
        <v>0</v>
      </c>
      <c r="G236" s="1" t="s">
        <v>96</v>
      </c>
      <c r="H236" s="1"/>
      <c r="I236" s="1"/>
    </row>
    <row r="237" spans="3:9" x14ac:dyDescent="0.25">
      <c r="C237" s="1">
        <v>7000679</v>
      </c>
      <c r="D237" s="1">
        <v>1531</v>
      </c>
      <c r="E237" s="1" t="s">
        <v>242</v>
      </c>
      <c r="F237" s="1">
        <v>0</v>
      </c>
      <c r="G237" s="1" t="s">
        <v>96</v>
      </c>
      <c r="H237" s="1"/>
      <c r="I237" s="1"/>
    </row>
    <row r="238" spans="3:9" x14ac:dyDescent="0.25">
      <c r="C238" s="1">
        <v>7000680</v>
      </c>
      <c r="D238" s="1">
        <v>1531</v>
      </c>
      <c r="E238" s="1" t="s">
        <v>243</v>
      </c>
      <c r="F238" s="1">
        <v>0</v>
      </c>
      <c r="G238" s="1" t="s">
        <v>96</v>
      </c>
      <c r="H238" s="1"/>
      <c r="I238" s="1"/>
    </row>
    <row r="239" spans="3:9" x14ac:dyDescent="0.25">
      <c r="C239" s="1">
        <v>7000681</v>
      </c>
      <c r="D239" s="1">
        <v>1531</v>
      </c>
      <c r="E239" s="1" t="s">
        <v>244</v>
      </c>
      <c r="F239" s="1">
        <v>0</v>
      </c>
      <c r="G239" s="1" t="s">
        <v>96</v>
      </c>
      <c r="H239" s="1"/>
      <c r="I239" s="1"/>
    </row>
    <row r="240" spans="3:9" x14ac:dyDescent="0.25">
      <c r="C240" s="1">
        <v>7000683</v>
      </c>
      <c r="D240" s="1">
        <v>1531</v>
      </c>
      <c r="E240" s="1" t="s">
        <v>245</v>
      </c>
      <c r="F240" s="1">
        <v>0</v>
      </c>
      <c r="G240" s="1" t="s">
        <v>96</v>
      </c>
      <c r="H240" s="1"/>
      <c r="I240" s="1"/>
    </row>
    <row r="241" spans="3:9" x14ac:dyDescent="0.25">
      <c r="C241" s="1">
        <v>7000686</v>
      </c>
      <c r="D241" s="1">
        <v>1531</v>
      </c>
      <c r="E241" s="1" t="s">
        <v>246</v>
      </c>
      <c r="F241" s="1">
        <v>0</v>
      </c>
      <c r="G241" s="1" t="s">
        <v>96</v>
      </c>
      <c r="H241" s="1"/>
      <c r="I241" s="1"/>
    </row>
    <row r="242" spans="3:9" x14ac:dyDescent="0.25">
      <c r="C242" s="1">
        <v>7000687</v>
      </c>
      <c r="D242" s="1">
        <v>1531</v>
      </c>
      <c r="E242" s="1" t="s">
        <v>247</v>
      </c>
      <c r="F242" s="1">
        <v>0</v>
      </c>
      <c r="G242" s="1" t="s">
        <v>96</v>
      </c>
      <c r="H242" s="1"/>
      <c r="I242" s="1"/>
    </row>
    <row r="243" spans="3:9" x14ac:dyDescent="0.25">
      <c r="C243" s="1">
        <v>7000688</v>
      </c>
      <c r="D243" s="1">
        <v>1531</v>
      </c>
      <c r="E243" s="1" t="s">
        <v>248</v>
      </c>
      <c r="F243" s="1">
        <v>0</v>
      </c>
      <c r="G243" s="1" t="s">
        <v>96</v>
      </c>
      <c r="H243" s="1"/>
      <c r="I243" s="1"/>
    </row>
    <row r="244" spans="3:9" x14ac:dyDescent="0.25">
      <c r="C244" s="1">
        <v>7000689</v>
      </c>
      <c r="D244" s="1">
        <v>1531</v>
      </c>
      <c r="E244" s="1" t="s">
        <v>249</v>
      </c>
      <c r="F244" s="1">
        <v>0</v>
      </c>
      <c r="G244" s="1" t="s">
        <v>96</v>
      </c>
      <c r="H244" s="1"/>
      <c r="I244" s="1"/>
    </row>
    <row r="245" spans="3:9" x14ac:dyDescent="0.25">
      <c r="C245" s="1">
        <v>7000690</v>
      </c>
      <c r="D245" s="1">
        <v>1531</v>
      </c>
      <c r="E245" s="1" t="s">
        <v>250</v>
      </c>
      <c r="F245" s="1">
        <v>0</v>
      </c>
      <c r="G245" s="1" t="s">
        <v>96</v>
      </c>
      <c r="H245" s="1"/>
      <c r="I245" s="1"/>
    </row>
    <row r="246" spans="3:9" x14ac:dyDescent="0.25">
      <c r="C246" s="1">
        <v>7000691</v>
      </c>
      <c r="D246" s="1">
        <v>1531</v>
      </c>
      <c r="E246" s="1" t="s">
        <v>251</v>
      </c>
      <c r="F246" s="1">
        <v>8880</v>
      </c>
      <c r="G246" s="1" t="s">
        <v>96</v>
      </c>
      <c r="H246" s="1"/>
      <c r="I246" s="1"/>
    </row>
    <row r="247" spans="3:9" x14ac:dyDescent="0.25">
      <c r="C247" s="1">
        <v>7000692</v>
      </c>
      <c r="D247" s="1">
        <v>1531</v>
      </c>
      <c r="E247" s="1" t="s">
        <v>252</v>
      </c>
      <c r="F247" s="1">
        <v>0</v>
      </c>
      <c r="G247" s="1" t="s">
        <v>96</v>
      </c>
      <c r="H247" s="1"/>
      <c r="I247" s="1"/>
    </row>
    <row r="248" spans="3:9" x14ac:dyDescent="0.25">
      <c r="C248" s="1">
        <v>7000693</v>
      </c>
      <c r="D248" s="1">
        <v>1531</v>
      </c>
      <c r="E248" s="1" t="s">
        <v>253</v>
      </c>
      <c r="F248" s="1">
        <v>0</v>
      </c>
      <c r="G248" s="1" t="s">
        <v>96</v>
      </c>
      <c r="H248" s="1"/>
      <c r="I248" s="1"/>
    </row>
    <row r="249" spans="3:9" x14ac:dyDescent="0.25">
      <c r="C249" s="1">
        <v>7000697</v>
      </c>
      <c r="D249" s="1">
        <v>1531</v>
      </c>
      <c r="E249" s="1" t="s">
        <v>254</v>
      </c>
      <c r="F249" s="1">
        <v>0</v>
      </c>
      <c r="G249" s="1" t="s">
        <v>96</v>
      </c>
      <c r="H249" s="1"/>
      <c r="I249" s="1"/>
    </row>
    <row r="250" spans="3:9" x14ac:dyDescent="0.25">
      <c r="C250" s="1">
        <v>7000698</v>
      </c>
      <c r="D250" s="1">
        <v>1531</v>
      </c>
      <c r="E250" s="1" t="s">
        <v>255</v>
      </c>
      <c r="F250" s="1">
        <v>0</v>
      </c>
      <c r="G250" s="1" t="s">
        <v>96</v>
      </c>
      <c r="H250" s="1"/>
      <c r="I250" s="1"/>
    </row>
    <row r="251" spans="3:9" x14ac:dyDescent="0.25">
      <c r="C251" s="1">
        <v>7000702</v>
      </c>
      <c r="D251" s="1">
        <v>1531</v>
      </c>
      <c r="E251" s="1" t="s">
        <v>256</v>
      </c>
      <c r="F251" s="1">
        <v>0</v>
      </c>
      <c r="G251" s="1" t="s">
        <v>96</v>
      </c>
      <c r="H251" s="1"/>
      <c r="I251" s="1"/>
    </row>
    <row r="252" spans="3:9" x14ac:dyDescent="0.25">
      <c r="C252" s="1">
        <v>7000703</v>
      </c>
      <c r="D252" s="1">
        <v>1531</v>
      </c>
      <c r="E252" s="1" t="s">
        <v>257</v>
      </c>
      <c r="F252" s="1">
        <v>0</v>
      </c>
      <c r="G252" s="1" t="s">
        <v>96</v>
      </c>
      <c r="H252" s="1"/>
      <c r="I252" s="1"/>
    </row>
    <row r="253" spans="3:9" x14ac:dyDescent="0.25">
      <c r="C253" s="1">
        <v>7000707</v>
      </c>
      <c r="D253" s="1">
        <v>1531</v>
      </c>
      <c r="E253" s="1" t="s">
        <v>258</v>
      </c>
      <c r="F253" s="1">
        <v>0</v>
      </c>
      <c r="G253" s="1" t="s">
        <v>13</v>
      </c>
      <c r="H253" s="1"/>
      <c r="I253" s="1"/>
    </row>
    <row r="254" spans="3:9" x14ac:dyDescent="0.25">
      <c r="C254" s="1">
        <v>7000710</v>
      </c>
      <c r="D254" s="1">
        <v>1531</v>
      </c>
      <c r="E254" s="1" t="s">
        <v>259</v>
      </c>
      <c r="F254" s="1">
        <v>0</v>
      </c>
      <c r="G254" s="1" t="s">
        <v>13</v>
      </c>
      <c r="H254" s="1"/>
      <c r="I254" s="1"/>
    </row>
    <row r="255" spans="3:9" x14ac:dyDescent="0.25">
      <c r="C255" s="1">
        <v>7000713</v>
      </c>
      <c r="D255" s="1">
        <v>1531</v>
      </c>
      <c r="E255" s="1" t="s">
        <v>260</v>
      </c>
      <c r="F255" s="1">
        <v>0</v>
      </c>
      <c r="G255" s="1" t="s">
        <v>13</v>
      </c>
      <c r="H255" s="1"/>
      <c r="I255" s="1"/>
    </row>
    <row r="256" spans="3:9" x14ac:dyDescent="0.25">
      <c r="C256" s="1">
        <v>7000714</v>
      </c>
      <c r="D256" s="1">
        <v>1531</v>
      </c>
      <c r="E256" s="1" t="s">
        <v>261</v>
      </c>
      <c r="F256" s="1">
        <v>0</v>
      </c>
      <c r="G256" s="1" t="s">
        <v>13</v>
      </c>
      <c r="H256" s="1"/>
      <c r="I256" s="1"/>
    </row>
    <row r="257" spans="3:9" x14ac:dyDescent="0.25">
      <c r="C257" s="1">
        <v>7000721</v>
      </c>
      <c r="D257" s="1">
        <v>1531</v>
      </c>
      <c r="E257" s="1" t="s">
        <v>262</v>
      </c>
      <c r="F257" s="1">
        <v>0</v>
      </c>
      <c r="G257" s="1" t="s">
        <v>13</v>
      </c>
      <c r="H257" s="1"/>
      <c r="I257" s="1"/>
    </row>
    <row r="258" spans="3:9" x14ac:dyDescent="0.25">
      <c r="C258" s="1">
        <v>7000723</v>
      </c>
      <c r="D258" s="1">
        <v>1531</v>
      </c>
      <c r="E258" s="1" t="s">
        <v>263</v>
      </c>
      <c r="F258" s="1">
        <v>0</v>
      </c>
      <c r="G258" s="1" t="s">
        <v>13</v>
      </c>
      <c r="H258" s="1"/>
      <c r="I258" s="1"/>
    </row>
    <row r="259" spans="3:9" x14ac:dyDescent="0.25">
      <c r="C259" s="1">
        <v>7000728</v>
      </c>
      <c r="D259" s="1">
        <v>1531</v>
      </c>
      <c r="E259" s="1" t="s">
        <v>264</v>
      </c>
      <c r="F259" s="1">
        <v>0</v>
      </c>
      <c r="G259" s="1" t="s">
        <v>13</v>
      </c>
      <c r="H259" s="1"/>
      <c r="I259" s="1"/>
    </row>
    <row r="260" spans="3:9" x14ac:dyDescent="0.25">
      <c r="C260" s="1">
        <v>7000732</v>
      </c>
      <c r="D260" s="1">
        <v>1531</v>
      </c>
      <c r="E260" s="1" t="s">
        <v>265</v>
      </c>
      <c r="F260" s="1">
        <v>0</v>
      </c>
      <c r="G260" s="1" t="s">
        <v>13</v>
      </c>
      <c r="H260" s="1"/>
      <c r="I260" s="1"/>
    </row>
    <row r="261" spans="3:9" x14ac:dyDescent="0.25">
      <c r="C261" s="1">
        <v>7000735</v>
      </c>
      <c r="D261" s="1">
        <v>1531</v>
      </c>
      <c r="E261" s="1" t="s">
        <v>266</v>
      </c>
      <c r="F261" s="1">
        <v>0</v>
      </c>
      <c r="G261" s="1" t="s">
        <v>13</v>
      </c>
      <c r="H261" s="1"/>
      <c r="I261" s="1"/>
    </row>
    <row r="262" spans="3:9" x14ac:dyDescent="0.25">
      <c r="C262" s="1">
        <v>7000736</v>
      </c>
      <c r="D262" s="1">
        <v>1531</v>
      </c>
      <c r="E262" s="1" t="s">
        <v>267</v>
      </c>
      <c r="F262" s="1">
        <v>0</v>
      </c>
      <c r="G262" s="1" t="s">
        <v>13</v>
      </c>
      <c r="H262" s="1"/>
      <c r="I262" s="1"/>
    </row>
    <row r="263" spans="3:9" x14ac:dyDescent="0.25">
      <c r="C263" s="1">
        <v>7000738</v>
      </c>
      <c r="D263" s="1">
        <v>1531</v>
      </c>
      <c r="E263" s="1" t="s">
        <v>268</v>
      </c>
      <c r="F263" s="1">
        <v>0</v>
      </c>
      <c r="G263" s="1" t="s">
        <v>269</v>
      </c>
      <c r="H263" s="1"/>
      <c r="I263" s="1"/>
    </row>
    <row r="264" spans="3:9" x14ac:dyDescent="0.25">
      <c r="C264" s="1">
        <v>7000740</v>
      </c>
      <c r="D264" s="1">
        <v>1531</v>
      </c>
      <c r="E264" s="1" t="s">
        <v>270</v>
      </c>
      <c r="F264" s="1">
        <v>0</v>
      </c>
      <c r="G264" s="1" t="s">
        <v>269</v>
      </c>
      <c r="H264" s="1"/>
      <c r="I264" s="1"/>
    </row>
    <row r="265" spans="3:9" x14ac:dyDescent="0.25">
      <c r="C265" s="1">
        <v>7000742</v>
      </c>
      <c r="D265" s="1">
        <v>1531</v>
      </c>
      <c r="E265" s="1" t="s">
        <v>271</v>
      </c>
      <c r="F265" s="1">
        <v>0</v>
      </c>
      <c r="G265" s="1" t="s">
        <v>13</v>
      </c>
      <c r="H265" s="1"/>
      <c r="I265" s="1"/>
    </row>
    <row r="266" spans="3:9" x14ac:dyDescent="0.25">
      <c r="C266" s="1">
        <v>7000750</v>
      </c>
      <c r="D266" s="1">
        <v>1531</v>
      </c>
      <c r="E266" s="1" t="s">
        <v>272</v>
      </c>
      <c r="F266" s="1">
        <v>0</v>
      </c>
      <c r="G266" s="1" t="s">
        <v>13</v>
      </c>
      <c r="H266" s="1"/>
      <c r="I266" s="1"/>
    </row>
    <row r="267" spans="3:9" x14ac:dyDescent="0.25">
      <c r="C267" s="1">
        <v>7000751</v>
      </c>
      <c r="D267" s="1">
        <v>1531</v>
      </c>
      <c r="E267" s="1" t="s">
        <v>273</v>
      </c>
      <c r="F267" s="1">
        <v>0</v>
      </c>
      <c r="G267" s="1" t="s">
        <v>13</v>
      </c>
      <c r="H267" s="1"/>
      <c r="I267" s="1"/>
    </row>
    <row r="268" spans="3:9" x14ac:dyDescent="0.25">
      <c r="C268" s="1">
        <v>7000758</v>
      </c>
      <c r="D268" s="1">
        <v>1531</v>
      </c>
      <c r="E268" s="1" t="s">
        <v>274</v>
      </c>
      <c r="F268" s="1">
        <v>0</v>
      </c>
      <c r="G268" s="1" t="s">
        <v>13</v>
      </c>
      <c r="H268" s="1"/>
      <c r="I268" s="1"/>
    </row>
    <row r="269" spans="3:9" x14ac:dyDescent="0.25">
      <c r="C269" s="1">
        <v>7000800</v>
      </c>
      <c r="D269" s="1">
        <v>1531</v>
      </c>
      <c r="E269" s="1" t="s">
        <v>275</v>
      </c>
      <c r="F269" s="1">
        <v>0</v>
      </c>
      <c r="G269" s="1" t="s">
        <v>13</v>
      </c>
      <c r="H269" s="1"/>
      <c r="I269" s="1"/>
    </row>
    <row r="270" spans="3:9" x14ac:dyDescent="0.25">
      <c r="C270" s="1">
        <v>7000803</v>
      </c>
      <c r="D270" s="1">
        <v>1531</v>
      </c>
      <c r="E270" s="1" t="s">
        <v>276</v>
      </c>
      <c r="F270" s="1">
        <v>0</v>
      </c>
      <c r="G270" s="1" t="s">
        <v>13</v>
      </c>
      <c r="H270" s="1"/>
      <c r="I270" s="1"/>
    </row>
    <row r="271" spans="3:9" x14ac:dyDescent="0.25">
      <c r="C271" s="1">
        <v>7000808</v>
      </c>
      <c r="D271" s="1">
        <v>1531</v>
      </c>
      <c r="E271" s="1" t="s">
        <v>277</v>
      </c>
      <c r="F271" s="1">
        <v>0</v>
      </c>
      <c r="G271" s="1" t="s">
        <v>13</v>
      </c>
      <c r="H271" s="1"/>
      <c r="I271" s="1"/>
    </row>
    <row r="272" spans="3:9" x14ac:dyDescent="0.25">
      <c r="C272" s="1">
        <v>7000811</v>
      </c>
      <c r="D272" s="1">
        <v>1531</v>
      </c>
      <c r="E272" s="1" t="s">
        <v>278</v>
      </c>
      <c r="F272" s="1">
        <v>0</v>
      </c>
      <c r="G272" s="1" t="s">
        <v>13</v>
      </c>
      <c r="H272" s="1"/>
      <c r="I272" s="1"/>
    </row>
    <row r="273" spans="3:9" x14ac:dyDescent="0.25">
      <c r="C273" s="1">
        <v>7000837</v>
      </c>
      <c r="D273" s="1">
        <v>1531</v>
      </c>
      <c r="E273" s="1" t="s">
        <v>279</v>
      </c>
      <c r="F273" s="1">
        <v>0</v>
      </c>
      <c r="G273" s="1" t="s">
        <v>96</v>
      </c>
      <c r="H273" s="1"/>
      <c r="I273" s="1"/>
    </row>
    <row r="274" spans="3:9" x14ac:dyDescent="0.25">
      <c r="C274" s="1">
        <v>7000841</v>
      </c>
      <c r="D274" s="1">
        <v>1531</v>
      </c>
      <c r="E274" s="1" t="s">
        <v>280</v>
      </c>
      <c r="F274" s="1">
        <v>0</v>
      </c>
      <c r="G274" s="1" t="s">
        <v>13</v>
      </c>
      <c r="H274" s="1"/>
      <c r="I274" s="1"/>
    </row>
    <row r="275" spans="3:9" x14ac:dyDescent="0.25">
      <c r="C275" s="1">
        <v>7000856</v>
      </c>
      <c r="D275" s="1">
        <v>1531</v>
      </c>
      <c r="E275" s="1" t="s">
        <v>281</v>
      </c>
      <c r="F275" s="1">
        <v>0</v>
      </c>
      <c r="G275" s="1" t="s">
        <v>13</v>
      </c>
      <c r="H275" s="1"/>
      <c r="I275" s="1"/>
    </row>
    <row r="276" spans="3:9" x14ac:dyDescent="0.25">
      <c r="C276" s="1">
        <v>7000858</v>
      </c>
      <c r="D276" s="1">
        <v>1531</v>
      </c>
      <c r="E276" s="1" t="s">
        <v>282</v>
      </c>
      <c r="F276" s="1">
        <v>0</v>
      </c>
      <c r="G276" s="1" t="s">
        <v>13</v>
      </c>
      <c r="H276" s="1"/>
      <c r="I276" s="1"/>
    </row>
    <row r="277" spans="3:9" x14ac:dyDescent="0.25">
      <c r="C277" s="1">
        <v>7000865</v>
      </c>
      <c r="D277" s="1">
        <v>1531</v>
      </c>
      <c r="E277" s="1" t="s">
        <v>283</v>
      </c>
      <c r="F277" s="1">
        <v>0</v>
      </c>
      <c r="G277" s="1" t="s">
        <v>13</v>
      </c>
      <c r="H277" s="1"/>
      <c r="I277" s="1"/>
    </row>
    <row r="278" spans="3:9" x14ac:dyDescent="0.25">
      <c r="C278" s="1">
        <v>7000874</v>
      </c>
      <c r="D278" s="1">
        <v>1531</v>
      </c>
      <c r="E278" s="1" t="s">
        <v>284</v>
      </c>
      <c r="F278" s="1">
        <v>0</v>
      </c>
      <c r="G278" s="1" t="s">
        <v>96</v>
      </c>
      <c r="H278" s="1"/>
      <c r="I278" s="1"/>
    </row>
    <row r="279" spans="3:9" x14ac:dyDescent="0.25">
      <c r="C279" s="1">
        <v>7000876</v>
      </c>
      <c r="D279" s="1">
        <v>1531</v>
      </c>
      <c r="E279" s="1" t="s">
        <v>285</v>
      </c>
      <c r="F279" s="1">
        <v>0</v>
      </c>
      <c r="G279" s="1" t="s">
        <v>96</v>
      </c>
      <c r="H279" s="1"/>
      <c r="I279" s="1"/>
    </row>
    <row r="280" spans="3:9" x14ac:dyDescent="0.25">
      <c r="C280" s="1">
        <v>7000893</v>
      </c>
      <c r="D280" s="1">
        <v>1531</v>
      </c>
      <c r="E280" s="1" t="s">
        <v>286</v>
      </c>
      <c r="F280" s="1">
        <v>0</v>
      </c>
      <c r="G280" s="1" t="s">
        <v>13</v>
      </c>
      <c r="H280" s="1"/>
      <c r="I280" s="1"/>
    </row>
    <row r="281" spans="3:9" x14ac:dyDescent="0.25">
      <c r="C281" s="1">
        <v>7000896</v>
      </c>
      <c r="D281" s="1">
        <v>1531</v>
      </c>
      <c r="E281" s="1" t="s">
        <v>287</v>
      </c>
      <c r="F281" s="1">
        <v>0</v>
      </c>
      <c r="G281" s="1" t="s">
        <v>96</v>
      </c>
      <c r="H281" s="1"/>
      <c r="I281" s="1"/>
    </row>
    <row r="282" spans="3:9" x14ac:dyDescent="0.25">
      <c r="C282" s="1">
        <v>7000898</v>
      </c>
      <c r="D282" s="1">
        <v>1531</v>
      </c>
      <c r="E282" s="1" t="s">
        <v>288</v>
      </c>
      <c r="F282" s="1">
        <v>0</v>
      </c>
      <c r="G282" s="1" t="s">
        <v>96</v>
      </c>
      <c r="H282" s="1"/>
      <c r="I282" s="1"/>
    </row>
    <row r="283" spans="3:9" x14ac:dyDescent="0.25">
      <c r="C283" s="1">
        <v>7000899</v>
      </c>
      <c r="D283" s="1">
        <v>1531</v>
      </c>
      <c r="E283" s="1" t="s">
        <v>289</v>
      </c>
      <c r="F283" s="1">
        <v>0</v>
      </c>
      <c r="G283" s="1" t="s">
        <v>96</v>
      </c>
      <c r="H283" s="1"/>
      <c r="I283" s="1"/>
    </row>
    <row r="284" spans="3:9" x14ac:dyDescent="0.25">
      <c r="C284" s="1">
        <v>7000900</v>
      </c>
      <c r="D284" s="1">
        <v>1531</v>
      </c>
      <c r="E284" s="1" t="s">
        <v>290</v>
      </c>
      <c r="F284" s="1">
        <v>0</v>
      </c>
      <c r="G284" s="1" t="s">
        <v>96</v>
      </c>
      <c r="H284" s="1"/>
      <c r="I284" s="1"/>
    </row>
    <row r="285" spans="3:9" x14ac:dyDescent="0.25">
      <c r="C285" s="1">
        <v>7000904</v>
      </c>
      <c r="D285" s="1">
        <v>1531</v>
      </c>
      <c r="E285" s="1" t="s">
        <v>291</v>
      </c>
      <c r="F285" s="1">
        <v>0</v>
      </c>
      <c r="G285" s="1" t="s">
        <v>13</v>
      </c>
      <c r="H285" s="1"/>
      <c r="I285" s="1"/>
    </row>
    <row r="286" spans="3:9" x14ac:dyDescent="0.25">
      <c r="C286" s="1">
        <v>7000906</v>
      </c>
      <c r="D286" s="1">
        <v>1531</v>
      </c>
      <c r="E286" s="1" t="s">
        <v>292</v>
      </c>
      <c r="F286" s="1">
        <v>0</v>
      </c>
      <c r="G286" s="1" t="s">
        <v>8</v>
      </c>
      <c r="H286" s="1"/>
      <c r="I286" s="1"/>
    </row>
    <row r="287" spans="3:9" x14ac:dyDescent="0.25">
      <c r="C287" s="1">
        <v>7000936</v>
      </c>
      <c r="D287" s="1">
        <v>1531</v>
      </c>
      <c r="E287" s="1" t="s">
        <v>293</v>
      </c>
      <c r="F287" s="1">
        <v>0</v>
      </c>
      <c r="G287" s="1" t="s">
        <v>13</v>
      </c>
      <c r="H287" s="1"/>
      <c r="I287" s="1"/>
    </row>
    <row r="288" spans="3:9" x14ac:dyDescent="0.25">
      <c r="C288" s="1">
        <v>7000937</v>
      </c>
      <c r="D288" s="1">
        <v>1531</v>
      </c>
      <c r="E288" s="1" t="s">
        <v>294</v>
      </c>
      <c r="F288" s="1">
        <v>0</v>
      </c>
      <c r="G288" s="1" t="s">
        <v>13</v>
      </c>
      <c r="H288" s="1"/>
      <c r="I288" s="1"/>
    </row>
    <row r="289" spans="3:9" x14ac:dyDescent="0.25">
      <c r="C289" s="1">
        <v>7000940</v>
      </c>
      <c r="D289" s="1">
        <v>1531</v>
      </c>
      <c r="E289" s="1" t="s">
        <v>295</v>
      </c>
      <c r="F289" s="1">
        <v>0</v>
      </c>
      <c r="G289" s="1" t="s">
        <v>8</v>
      </c>
      <c r="H289" s="1"/>
      <c r="I289" s="1"/>
    </row>
    <row r="290" spans="3:9" x14ac:dyDescent="0.25">
      <c r="C290" s="1">
        <v>7000943</v>
      </c>
      <c r="D290" s="1">
        <v>1531</v>
      </c>
      <c r="E290" s="1" t="s">
        <v>296</v>
      </c>
      <c r="F290" s="1">
        <v>0</v>
      </c>
      <c r="G290" s="1" t="s">
        <v>8</v>
      </c>
      <c r="H290" s="1"/>
      <c r="I290" s="1"/>
    </row>
    <row r="291" spans="3:9" x14ac:dyDescent="0.25">
      <c r="C291" s="1">
        <v>7000946</v>
      </c>
      <c r="D291" s="1">
        <v>1531</v>
      </c>
      <c r="E291" s="1" t="s">
        <v>297</v>
      </c>
      <c r="F291" s="1">
        <v>0</v>
      </c>
      <c r="G291" s="1" t="s">
        <v>96</v>
      </c>
      <c r="H291" s="1"/>
      <c r="I291" s="1"/>
    </row>
    <row r="292" spans="3:9" x14ac:dyDescent="0.25">
      <c r="C292" s="1">
        <v>7000948</v>
      </c>
      <c r="D292" s="1">
        <v>1531</v>
      </c>
      <c r="E292" s="1" t="s">
        <v>298</v>
      </c>
      <c r="F292" s="1">
        <v>0</v>
      </c>
      <c r="G292" s="1" t="s">
        <v>96</v>
      </c>
      <c r="H292" s="1"/>
      <c r="I292" s="1"/>
    </row>
    <row r="293" spans="3:9" x14ac:dyDescent="0.25">
      <c r="C293" s="1">
        <v>7000952</v>
      </c>
      <c r="D293" s="1">
        <v>1531</v>
      </c>
      <c r="E293" s="1" t="s">
        <v>299</v>
      </c>
      <c r="F293" s="1">
        <v>0</v>
      </c>
      <c r="G293" s="1" t="s">
        <v>8</v>
      </c>
      <c r="H293" s="1"/>
      <c r="I293" s="1"/>
    </row>
    <row r="294" spans="3:9" x14ac:dyDescent="0.25">
      <c r="C294" s="1">
        <v>7000969</v>
      </c>
      <c r="D294" s="1">
        <v>1531</v>
      </c>
      <c r="E294" s="1" t="s">
        <v>300</v>
      </c>
      <c r="F294" s="1">
        <v>0</v>
      </c>
      <c r="G294" s="1" t="s">
        <v>13</v>
      </c>
      <c r="H294" s="1"/>
      <c r="I294" s="1"/>
    </row>
    <row r="295" spans="3:9" x14ac:dyDescent="0.25">
      <c r="C295" s="1">
        <v>7000971</v>
      </c>
      <c r="D295" s="1">
        <v>1531</v>
      </c>
      <c r="E295" s="1" t="s">
        <v>301</v>
      </c>
      <c r="F295" s="1">
        <v>0</v>
      </c>
      <c r="G295" s="1" t="s">
        <v>96</v>
      </c>
      <c r="H295" s="1"/>
      <c r="I295" s="1"/>
    </row>
    <row r="296" spans="3:9" x14ac:dyDescent="0.25">
      <c r="C296" s="1">
        <v>7000975</v>
      </c>
      <c r="D296" s="1">
        <v>1531</v>
      </c>
      <c r="E296" s="1" t="s">
        <v>302</v>
      </c>
      <c r="F296" s="1">
        <v>0</v>
      </c>
      <c r="G296" s="1" t="s">
        <v>96</v>
      </c>
      <c r="H296" s="1"/>
      <c r="I296" s="1"/>
    </row>
    <row r="297" spans="3:9" x14ac:dyDescent="0.25">
      <c r="C297" s="1">
        <v>7000978</v>
      </c>
      <c r="D297" s="1">
        <v>1531</v>
      </c>
      <c r="E297" s="1" t="s">
        <v>303</v>
      </c>
      <c r="F297" s="1">
        <v>0</v>
      </c>
      <c r="G297" s="1" t="s">
        <v>8</v>
      </c>
      <c r="H297" s="1"/>
      <c r="I297" s="1"/>
    </row>
    <row r="298" spans="3:9" x14ac:dyDescent="0.25">
      <c r="C298" s="1">
        <v>7000981</v>
      </c>
      <c r="D298" s="1">
        <v>1531</v>
      </c>
      <c r="E298" s="1" t="s">
        <v>304</v>
      </c>
      <c r="F298" s="1">
        <v>0</v>
      </c>
      <c r="G298" s="1" t="s">
        <v>8</v>
      </c>
      <c r="H298" s="1"/>
      <c r="I298" s="1"/>
    </row>
    <row r="299" spans="3:9" x14ac:dyDescent="0.25">
      <c r="C299" s="1">
        <v>7000986</v>
      </c>
      <c r="D299" s="1">
        <v>1531</v>
      </c>
      <c r="E299" s="1" t="s">
        <v>305</v>
      </c>
      <c r="F299" s="1">
        <v>0</v>
      </c>
      <c r="G299" s="1" t="s">
        <v>96</v>
      </c>
      <c r="H299" s="1"/>
      <c r="I299" s="1"/>
    </row>
    <row r="300" spans="3:9" x14ac:dyDescent="0.25">
      <c r="C300" s="1">
        <v>7000991</v>
      </c>
      <c r="D300" s="1">
        <v>1531</v>
      </c>
      <c r="E300" s="1" t="s">
        <v>306</v>
      </c>
      <c r="F300" s="1">
        <v>0</v>
      </c>
      <c r="G300" s="1" t="s">
        <v>96</v>
      </c>
      <c r="H300" s="1"/>
      <c r="I300" s="1"/>
    </row>
    <row r="301" spans="3:9" x14ac:dyDescent="0.25">
      <c r="C301" s="1">
        <v>7000992</v>
      </c>
      <c r="D301" s="1">
        <v>1531</v>
      </c>
      <c r="E301" s="1" t="s">
        <v>307</v>
      </c>
      <c r="F301" s="1">
        <v>0</v>
      </c>
      <c r="G301" s="1" t="s">
        <v>96</v>
      </c>
      <c r="H301" s="1"/>
      <c r="I301" s="1"/>
    </row>
    <row r="302" spans="3:9" x14ac:dyDescent="0.25">
      <c r="C302" s="1">
        <v>7001000</v>
      </c>
      <c r="D302" s="1">
        <v>1531</v>
      </c>
      <c r="E302" s="1" t="s">
        <v>308</v>
      </c>
      <c r="F302" s="1">
        <v>0</v>
      </c>
      <c r="G302" s="1" t="s">
        <v>8</v>
      </c>
      <c r="H302" s="1"/>
      <c r="I302" s="1"/>
    </row>
    <row r="303" spans="3:9" x14ac:dyDescent="0.25">
      <c r="C303" s="1">
        <v>7001001</v>
      </c>
      <c r="D303" s="1">
        <v>1531</v>
      </c>
      <c r="E303" s="1" t="s">
        <v>309</v>
      </c>
      <c r="F303" s="1">
        <v>0</v>
      </c>
      <c r="G303" s="1" t="s">
        <v>13</v>
      </c>
      <c r="H303" s="1"/>
      <c r="I303" s="1"/>
    </row>
    <row r="304" spans="3:9" x14ac:dyDescent="0.25">
      <c r="C304" s="1">
        <v>7001002</v>
      </c>
      <c r="D304" s="1">
        <v>1531</v>
      </c>
      <c r="E304" s="1" t="s">
        <v>310</v>
      </c>
      <c r="F304" s="1">
        <v>0</v>
      </c>
      <c r="G304" s="1" t="s">
        <v>13</v>
      </c>
      <c r="H304" s="1"/>
      <c r="I304" s="1"/>
    </row>
    <row r="305" spans="3:9" x14ac:dyDescent="0.25">
      <c r="C305" s="1">
        <v>7001003</v>
      </c>
      <c r="D305" s="1">
        <v>1531</v>
      </c>
      <c r="E305" s="1" t="s">
        <v>311</v>
      </c>
      <c r="F305" s="1">
        <v>0</v>
      </c>
      <c r="G305" s="1" t="s">
        <v>13</v>
      </c>
      <c r="H305" s="1"/>
      <c r="I305" s="1"/>
    </row>
    <row r="306" spans="3:9" x14ac:dyDescent="0.25">
      <c r="C306" s="1">
        <v>7001005</v>
      </c>
      <c r="D306" s="1">
        <v>1531</v>
      </c>
      <c r="E306" s="1" t="s">
        <v>312</v>
      </c>
      <c r="F306" s="1">
        <v>0</v>
      </c>
      <c r="G306" s="1" t="s">
        <v>96</v>
      </c>
      <c r="H306" s="1"/>
      <c r="I306" s="1"/>
    </row>
    <row r="307" spans="3:9" x14ac:dyDescent="0.25">
      <c r="C307" s="1">
        <v>7001006</v>
      </c>
      <c r="D307" s="1">
        <v>1531</v>
      </c>
      <c r="E307" s="1" t="s">
        <v>313</v>
      </c>
      <c r="F307" s="1">
        <v>0</v>
      </c>
      <c r="G307" s="1" t="s">
        <v>13</v>
      </c>
      <c r="H307" s="1"/>
      <c r="I307" s="1"/>
    </row>
    <row r="308" spans="3:9" x14ac:dyDescent="0.25">
      <c r="C308" s="1">
        <v>7001012</v>
      </c>
      <c r="D308" s="1">
        <v>1531</v>
      </c>
      <c r="E308" s="1" t="s">
        <v>314</v>
      </c>
      <c r="F308" s="1">
        <v>0</v>
      </c>
      <c r="G308" s="1" t="s">
        <v>8</v>
      </c>
      <c r="H308" s="1"/>
      <c r="I308" s="1"/>
    </row>
    <row r="309" spans="3:9" x14ac:dyDescent="0.25">
      <c r="C309" s="1">
        <v>7001013</v>
      </c>
      <c r="D309" s="1">
        <v>1531</v>
      </c>
      <c r="E309" s="1" t="s">
        <v>315</v>
      </c>
      <c r="F309" s="1">
        <v>0</v>
      </c>
      <c r="G309" s="1" t="s">
        <v>8</v>
      </c>
      <c r="H309" s="1"/>
      <c r="I309" s="1"/>
    </row>
    <row r="310" spans="3:9" x14ac:dyDescent="0.25">
      <c r="C310" s="1">
        <v>7001015</v>
      </c>
      <c r="D310" s="1">
        <v>1531</v>
      </c>
      <c r="E310" s="1" t="s">
        <v>316</v>
      </c>
      <c r="F310" s="1">
        <v>0</v>
      </c>
      <c r="G310" s="1" t="s">
        <v>96</v>
      </c>
      <c r="H310" s="1"/>
      <c r="I310" s="1"/>
    </row>
    <row r="311" spans="3:9" x14ac:dyDescent="0.25">
      <c r="C311" s="1">
        <v>7001016</v>
      </c>
      <c r="D311" s="1">
        <v>1531</v>
      </c>
      <c r="E311" s="1" t="s">
        <v>317</v>
      </c>
      <c r="F311" s="1">
        <v>0</v>
      </c>
      <c r="G311" s="1" t="s">
        <v>96</v>
      </c>
      <c r="H311" s="1"/>
      <c r="I311" s="1"/>
    </row>
    <row r="312" spans="3:9" x14ac:dyDescent="0.25">
      <c r="C312" s="1">
        <v>7001048</v>
      </c>
      <c r="D312" s="1">
        <v>1531</v>
      </c>
      <c r="E312" s="1" t="s">
        <v>318</v>
      </c>
      <c r="F312" s="1">
        <v>0</v>
      </c>
      <c r="G312" s="1" t="s">
        <v>13</v>
      </c>
      <c r="H312" s="1"/>
      <c r="I312" s="1"/>
    </row>
    <row r="313" spans="3:9" x14ac:dyDescent="0.25">
      <c r="C313" s="1">
        <v>7001049</v>
      </c>
      <c r="D313" s="1">
        <v>1531</v>
      </c>
      <c r="E313" s="1" t="s">
        <v>319</v>
      </c>
      <c r="F313" s="1">
        <v>0</v>
      </c>
      <c r="G313" s="1" t="s">
        <v>13</v>
      </c>
      <c r="H313" s="1"/>
      <c r="I313" s="1"/>
    </row>
    <row r="314" spans="3:9" x14ac:dyDescent="0.25">
      <c r="C314" s="1">
        <v>7001056</v>
      </c>
      <c r="D314" s="1">
        <v>1531</v>
      </c>
      <c r="E314" s="1" t="s">
        <v>31</v>
      </c>
      <c r="F314" s="1">
        <v>0</v>
      </c>
      <c r="G314" s="1" t="s">
        <v>13</v>
      </c>
      <c r="H314" s="1"/>
      <c r="I314" s="1"/>
    </row>
    <row r="315" spans="3:9" x14ac:dyDescent="0.25">
      <c r="C315" s="1">
        <v>7001089</v>
      </c>
      <c r="D315" s="1">
        <v>1531</v>
      </c>
      <c r="E315" s="1" t="s">
        <v>320</v>
      </c>
      <c r="F315" s="1">
        <v>0</v>
      </c>
      <c r="G315" s="1" t="s">
        <v>13</v>
      </c>
      <c r="H315" s="1"/>
      <c r="I315" s="1"/>
    </row>
    <row r="316" spans="3:9" x14ac:dyDescent="0.25">
      <c r="C316" s="1">
        <v>7001093</v>
      </c>
      <c r="D316" s="1">
        <v>1531</v>
      </c>
      <c r="E316" s="1" t="s">
        <v>170</v>
      </c>
      <c r="F316" s="1">
        <v>0</v>
      </c>
      <c r="G316" s="1" t="s">
        <v>13</v>
      </c>
      <c r="H316" s="1"/>
      <c r="I316" s="1"/>
    </row>
    <row r="317" spans="3:9" x14ac:dyDescent="0.25">
      <c r="C317" s="1">
        <v>7001096</v>
      </c>
      <c r="D317" s="1">
        <v>1531</v>
      </c>
      <c r="E317" s="1" t="s">
        <v>321</v>
      </c>
      <c r="F317" s="1">
        <v>0</v>
      </c>
      <c r="G317" s="1" t="s">
        <v>13</v>
      </c>
      <c r="H317" s="1"/>
      <c r="I317" s="1"/>
    </row>
    <row r="318" spans="3:9" x14ac:dyDescent="0.25">
      <c r="C318" s="1">
        <v>7001100</v>
      </c>
      <c r="D318" s="1">
        <v>1531</v>
      </c>
      <c r="E318" s="1" t="s">
        <v>322</v>
      </c>
      <c r="F318" s="1">
        <v>0</v>
      </c>
      <c r="G318" s="1" t="s">
        <v>13</v>
      </c>
      <c r="H318" s="1"/>
      <c r="I318" s="1"/>
    </row>
    <row r="319" spans="3:9" x14ac:dyDescent="0.25">
      <c r="C319" s="1">
        <v>7001117</v>
      </c>
      <c r="D319" s="1">
        <v>1531</v>
      </c>
      <c r="E319" s="1" t="s">
        <v>323</v>
      </c>
      <c r="F319" s="1">
        <v>0</v>
      </c>
      <c r="G319" s="1" t="s">
        <v>13</v>
      </c>
      <c r="H319" s="1"/>
      <c r="I319" s="1"/>
    </row>
    <row r="320" spans="3:9" x14ac:dyDescent="0.25">
      <c r="C320" s="1">
        <v>7001133</v>
      </c>
      <c r="D320" s="1">
        <v>1531</v>
      </c>
      <c r="E320" s="1" t="s">
        <v>324</v>
      </c>
      <c r="F320" s="1">
        <v>0</v>
      </c>
      <c r="G320" s="1" t="s">
        <v>13</v>
      </c>
      <c r="H320" s="1"/>
      <c r="I320" s="1"/>
    </row>
    <row r="321" spans="3:9" x14ac:dyDescent="0.25">
      <c r="C321" s="1">
        <v>7001222</v>
      </c>
      <c r="D321" s="1">
        <v>1531</v>
      </c>
      <c r="E321" s="1" t="s">
        <v>325</v>
      </c>
      <c r="F321" s="1">
        <v>26670</v>
      </c>
      <c r="G321" s="1" t="s">
        <v>96</v>
      </c>
      <c r="H321" s="1"/>
      <c r="I321" s="1"/>
    </row>
    <row r="322" spans="3:9" x14ac:dyDescent="0.25">
      <c r="C322" s="1">
        <v>7001223</v>
      </c>
      <c r="D322" s="1">
        <v>1531</v>
      </c>
      <c r="E322" s="1" t="s">
        <v>326</v>
      </c>
      <c r="F322" s="1">
        <v>0</v>
      </c>
      <c r="G322" s="1" t="s">
        <v>96</v>
      </c>
      <c r="H322" s="1"/>
      <c r="I322" s="1"/>
    </row>
    <row r="323" spans="3:9" x14ac:dyDescent="0.25">
      <c r="C323" s="1">
        <v>7001226</v>
      </c>
      <c r="D323" s="1">
        <v>1531</v>
      </c>
      <c r="E323" s="1" t="s">
        <v>327</v>
      </c>
      <c r="F323" s="1">
        <v>0</v>
      </c>
      <c r="G323" s="1" t="s">
        <v>96</v>
      </c>
      <c r="H323" s="1"/>
      <c r="I323" s="1"/>
    </row>
    <row r="324" spans="3:9" x14ac:dyDescent="0.25">
      <c r="C324" s="1">
        <v>7001236</v>
      </c>
      <c r="D324" s="1">
        <v>1531</v>
      </c>
      <c r="E324" s="1" t="s">
        <v>193</v>
      </c>
      <c r="F324" s="1">
        <v>0</v>
      </c>
      <c r="G324" s="1" t="s">
        <v>96</v>
      </c>
      <c r="H324" s="1"/>
      <c r="I324" s="1"/>
    </row>
    <row r="325" spans="3:9" x14ac:dyDescent="0.25">
      <c r="C325" s="1">
        <v>7001250</v>
      </c>
      <c r="D325" s="1">
        <v>1531</v>
      </c>
      <c r="E325" s="1" t="s">
        <v>328</v>
      </c>
      <c r="F325" s="1">
        <v>0</v>
      </c>
      <c r="G325" s="1" t="s">
        <v>13</v>
      </c>
      <c r="H325" s="1"/>
      <c r="I325" s="1"/>
    </row>
    <row r="326" spans="3:9" x14ac:dyDescent="0.25">
      <c r="C326" s="1">
        <v>7001251</v>
      </c>
      <c r="D326" s="1">
        <v>1531</v>
      </c>
      <c r="E326" s="1" t="s">
        <v>329</v>
      </c>
      <c r="F326" s="1">
        <v>0</v>
      </c>
      <c r="G326" s="1" t="s">
        <v>13</v>
      </c>
      <c r="H326" s="1"/>
      <c r="I326" s="1"/>
    </row>
    <row r="327" spans="3:9" x14ac:dyDescent="0.25">
      <c r="C327" s="1">
        <v>7001271</v>
      </c>
      <c r="D327" s="1">
        <v>1531</v>
      </c>
      <c r="E327" s="1" t="s">
        <v>330</v>
      </c>
      <c r="F327" s="1">
        <v>42976.800000000003</v>
      </c>
      <c r="G327" s="1" t="s">
        <v>96</v>
      </c>
      <c r="H327" s="1"/>
      <c r="I327" s="1"/>
    </row>
    <row r="328" spans="3:9" x14ac:dyDescent="0.25">
      <c r="C328" s="1">
        <v>7001562</v>
      </c>
      <c r="D328" s="1">
        <v>1531</v>
      </c>
      <c r="E328" s="1" t="s">
        <v>331</v>
      </c>
      <c r="F328" s="1">
        <v>0</v>
      </c>
      <c r="G328" s="1" t="s">
        <v>13</v>
      </c>
      <c r="H328" s="1"/>
      <c r="I328" s="1"/>
    </row>
    <row r="329" spans="3:9" x14ac:dyDescent="0.25">
      <c r="C329" s="1">
        <v>7001673</v>
      </c>
      <c r="D329" s="1">
        <v>1531</v>
      </c>
      <c r="E329" s="1" t="s">
        <v>332</v>
      </c>
      <c r="F329" s="1">
        <v>0</v>
      </c>
      <c r="G329" s="1" t="s">
        <v>13</v>
      </c>
      <c r="H329" s="1"/>
      <c r="I329" s="1"/>
    </row>
    <row r="330" spans="3:9" x14ac:dyDescent="0.25">
      <c r="C330" s="1">
        <v>7001698</v>
      </c>
      <c r="D330" s="1">
        <v>1531</v>
      </c>
      <c r="E330" s="1" t="s">
        <v>333</v>
      </c>
      <c r="F330" s="1">
        <v>0</v>
      </c>
      <c r="G330" s="1" t="s">
        <v>13</v>
      </c>
      <c r="H330" s="1"/>
      <c r="I330" s="1"/>
    </row>
    <row r="331" spans="3:9" x14ac:dyDescent="0.25">
      <c r="C331" s="1">
        <v>7001701</v>
      </c>
      <c r="D331" s="1">
        <v>1531</v>
      </c>
      <c r="E331" s="1" t="s">
        <v>334</v>
      </c>
      <c r="F331" s="1">
        <v>0</v>
      </c>
      <c r="G331" s="1" t="s">
        <v>96</v>
      </c>
      <c r="H331" s="1"/>
      <c r="I331" s="1"/>
    </row>
    <row r="332" spans="3:9" x14ac:dyDescent="0.25">
      <c r="C332" s="1">
        <v>7001730</v>
      </c>
      <c r="D332" s="1">
        <v>1531</v>
      </c>
      <c r="E332" s="1" t="s">
        <v>335</v>
      </c>
      <c r="F332" s="1">
        <v>0</v>
      </c>
      <c r="G332" s="1" t="s">
        <v>96</v>
      </c>
      <c r="H332" s="1"/>
      <c r="I332" s="1"/>
    </row>
    <row r="333" spans="3:9" x14ac:dyDescent="0.25">
      <c r="C333" s="1">
        <v>7001731</v>
      </c>
      <c r="D333" s="1">
        <v>1531</v>
      </c>
      <c r="E333" s="1" t="s">
        <v>336</v>
      </c>
      <c r="F333" s="1">
        <v>0</v>
      </c>
      <c r="G333" s="1" t="s">
        <v>96</v>
      </c>
      <c r="H333" s="1"/>
      <c r="I333" s="1"/>
    </row>
    <row r="334" spans="3:9" x14ac:dyDescent="0.25">
      <c r="C334" s="1">
        <v>7001732</v>
      </c>
      <c r="D334" s="1">
        <v>1531</v>
      </c>
      <c r="E334" s="1" t="s">
        <v>337</v>
      </c>
      <c r="F334" s="1">
        <v>0</v>
      </c>
      <c r="G334" s="1" t="s">
        <v>96</v>
      </c>
      <c r="H334" s="1"/>
      <c r="I334" s="1"/>
    </row>
    <row r="335" spans="3:9" x14ac:dyDescent="0.25">
      <c r="C335" s="1">
        <v>7001755</v>
      </c>
      <c r="D335" s="1">
        <v>1531</v>
      </c>
      <c r="E335" s="1" t="s">
        <v>338</v>
      </c>
      <c r="F335" s="1">
        <v>0</v>
      </c>
      <c r="G335" s="1" t="s">
        <v>8</v>
      </c>
      <c r="H335" s="1"/>
      <c r="I335" s="1"/>
    </row>
    <row r="336" spans="3:9" x14ac:dyDescent="0.25">
      <c r="C336" s="1">
        <v>7001766</v>
      </c>
      <c r="D336" s="1">
        <v>1531</v>
      </c>
      <c r="E336" s="1" t="s">
        <v>339</v>
      </c>
      <c r="F336" s="1">
        <v>11468.1</v>
      </c>
      <c r="G336" s="1" t="s">
        <v>96</v>
      </c>
      <c r="H336" s="1"/>
      <c r="I336" s="1"/>
    </row>
    <row r="337" spans="3:9" x14ac:dyDescent="0.25">
      <c r="C337" s="1">
        <v>7001767</v>
      </c>
      <c r="D337" s="1">
        <v>1531</v>
      </c>
      <c r="E337" s="1" t="s">
        <v>340</v>
      </c>
      <c r="F337" s="1">
        <v>0</v>
      </c>
      <c r="G337" s="1" t="s">
        <v>96</v>
      </c>
      <c r="H337" s="1"/>
      <c r="I337" s="1"/>
    </row>
    <row r="338" spans="3:9" x14ac:dyDescent="0.25">
      <c r="C338" s="1">
        <v>7001847</v>
      </c>
      <c r="D338" s="1">
        <v>1531</v>
      </c>
      <c r="E338" s="1" t="s">
        <v>341</v>
      </c>
      <c r="F338" s="1">
        <v>0</v>
      </c>
      <c r="G338" s="1" t="s">
        <v>96</v>
      </c>
      <c r="H338" s="1"/>
      <c r="I338" s="1"/>
    </row>
    <row r="339" spans="3:9" x14ac:dyDescent="0.25">
      <c r="C339" s="1">
        <v>7001888</v>
      </c>
      <c r="D339" s="1">
        <v>1531</v>
      </c>
      <c r="E339" s="1" t="s">
        <v>342</v>
      </c>
      <c r="F339" s="1">
        <v>0</v>
      </c>
      <c r="G339" s="1" t="s">
        <v>13</v>
      </c>
      <c r="H339" s="1"/>
      <c r="I339" s="1"/>
    </row>
    <row r="340" spans="3:9" x14ac:dyDescent="0.25">
      <c r="C340" s="1">
        <v>7001904</v>
      </c>
      <c r="D340" s="1">
        <v>1531</v>
      </c>
      <c r="E340" s="1" t="s">
        <v>343</v>
      </c>
      <c r="F340" s="1">
        <v>0</v>
      </c>
      <c r="G340" s="1" t="s">
        <v>13</v>
      </c>
      <c r="H340" s="1"/>
      <c r="I340" s="1"/>
    </row>
    <row r="341" spans="3:9" x14ac:dyDescent="0.25">
      <c r="C341" s="1">
        <v>7001917</v>
      </c>
      <c r="D341" s="1">
        <v>1531</v>
      </c>
      <c r="E341" s="1" t="s">
        <v>344</v>
      </c>
      <c r="F341" s="1">
        <v>0</v>
      </c>
      <c r="G341" s="1" t="s">
        <v>13</v>
      </c>
      <c r="H341" s="1"/>
      <c r="I341" s="1"/>
    </row>
    <row r="342" spans="3:9" x14ac:dyDescent="0.25">
      <c r="C342" s="1">
        <v>7002181</v>
      </c>
      <c r="D342" s="1">
        <v>1531</v>
      </c>
      <c r="E342" s="1" t="s">
        <v>345</v>
      </c>
      <c r="F342" s="1">
        <v>0</v>
      </c>
      <c r="G342" s="1" t="s">
        <v>13</v>
      </c>
      <c r="H342" s="1"/>
      <c r="I342" s="1"/>
    </row>
    <row r="343" spans="3:9" x14ac:dyDescent="0.25">
      <c r="C343" s="1">
        <v>7002186</v>
      </c>
      <c r="D343" s="1">
        <v>1531</v>
      </c>
      <c r="E343" s="1" t="s">
        <v>346</v>
      </c>
      <c r="F343" s="1">
        <v>0</v>
      </c>
      <c r="G343" s="1" t="s">
        <v>13</v>
      </c>
      <c r="H343" s="1"/>
      <c r="I343" s="1"/>
    </row>
    <row r="344" spans="3:9" x14ac:dyDescent="0.25">
      <c r="C344" s="1">
        <v>7002187</v>
      </c>
      <c r="D344" s="1">
        <v>1531</v>
      </c>
      <c r="E344" s="1" t="s">
        <v>347</v>
      </c>
      <c r="F344" s="1">
        <v>0</v>
      </c>
      <c r="G344" s="1" t="s">
        <v>13</v>
      </c>
      <c r="H344" s="1"/>
      <c r="I344" s="1"/>
    </row>
    <row r="345" spans="3:9" x14ac:dyDescent="0.25">
      <c r="C345" s="1">
        <v>7002190</v>
      </c>
      <c r="D345" s="1">
        <v>1531</v>
      </c>
      <c r="E345" s="1" t="s">
        <v>348</v>
      </c>
      <c r="F345" s="1">
        <v>0</v>
      </c>
      <c r="G345" s="1" t="s">
        <v>13</v>
      </c>
      <c r="H345" s="1"/>
      <c r="I345" s="1"/>
    </row>
    <row r="346" spans="3:9" x14ac:dyDescent="0.25">
      <c r="C346" s="1">
        <v>7002191</v>
      </c>
      <c r="D346" s="1">
        <v>1531</v>
      </c>
      <c r="E346" s="1" t="s">
        <v>349</v>
      </c>
      <c r="F346" s="1">
        <v>0</v>
      </c>
      <c r="G346" s="1" t="s">
        <v>13</v>
      </c>
      <c r="H346" s="1"/>
      <c r="I346" s="1"/>
    </row>
    <row r="347" spans="3:9" x14ac:dyDescent="0.25">
      <c r="C347" s="1">
        <v>7002235</v>
      </c>
      <c r="D347" s="1">
        <v>1531</v>
      </c>
      <c r="E347" s="1" t="s">
        <v>350</v>
      </c>
      <c r="F347" s="1">
        <v>0</v>
      </c>
      <c r="G347" s="1" t="s">
        <v>96</v>
      </c>
      <c r="H347" s="1"/>
      <c r="I347" s="1"/>
    </row>
    <row r="348" spans="3:9" x14ac:dyDescent="0.25">
      <c r="C348" s="1">
        <v>7002236</v>
      </c>
      <c r="D348" s="1">
        <v>1531</v>
      </c>
      <c r="E348" s="1" t="s">
        <v>351</v>
      </c>
      <c r="F348" s="1">
        <v>0</v>
      </c>
      <c r="G348" s="1" t="s">
        <v>13</v>
      </c>
      <c r="H348" s="1"/>
      <c r="I348" s="1"/>
    </row>
    <row r="349" spans="3:9" x14ac:dyDescent="0.25">
      <c r="C349" s="1">
        <v>7002428</v>
      </c>
      <c r="D349" s="1">
        <v>1531</v>
      </c>
      <c r="E349" s="1" t="s">
        <v>259</v>
      </c>
      <c r="F349" s="1">
        <v>0</v>
      </c>
      <c r="G349" s="1" t="s">
        <v>13</v>
      </c>
      <c r="H349" s="1"/>
      <c r="I349" s="1"/>
    </row>
    <row r="350" spans="3:9" x14ac:dyDescent="0.25">
      <c r="C350" s="1">
        <v>7002434</v>
      </c>
      <c r="D350" s="1">
        <v>1531</v>
      </c>
      <c r="E350" s="1" t="s">
        <v>352</v>
      </c>
      <c r="F350" s="1">
        <v>0</v>
      </c>
      <c r="G350" s="1" t="s">
        <v>13</v>
      </c>
      <c r="H350" s="1"/>
      <c r="I350" s="1"/>
    </row>
    <row r="351" spans="3:9" x14ac:dyDescent="0.25">
      <c r="C351" s="1">
        <v>7002439</v>
      </c>
      <c r="D351" s="1">
        <v>1531</v>
      </c>
      <c r="E351" s="1" t="s">
        <v>353</v>
      </c>
      <c r="F351" s="1">
        <v>0</v>
      </c>
      <c r="G351" s="1" t="s">
        <v>13</v>
      </c>
      <c r="H351" s="1"/>
      <c r="I351" s="1"/>
    </row>
    <row r="352" spans="3:9" x14ac:dyDescent="0.25">
      <c r="C352" s="1">
        <v>7002449</v>
      </c>
      <c r="D352" s="1">
        <v>1531</v>
      </c>
      <c r="E352" s="1" t="s">
        <v>354</v>
      </c>
      <c r="F352" s="1">
        <v>0</v>
      </c>
      <c r="G352" s="1" t="s">
        <v>96</v>
      </c>
      <c r="H352" s="1"/>
      <c r="I352" s="1"/>
    </row>
    <row r="353" spans="3:9" x14ac:dyDescent="0.25">
      <c r="C353" s="1">
        <v>7002630</v>
      </c>
      <c r="D353" s="1">
        <v>1531</v>
      </c>
      <c r="E353" s="1" t="s">
        <v>355</v>
      </c>
      <c r="F353" s="1">
        <v>0</v>
      </c>
      <c r="G353" s="1" t="s">
        <v>96</v>
      </c>
      <c r="H353" s="1"/>
      <c r="I353" s="1"/>
    </row>
    <row r="354" spans="3:9" x14ac:dyDescent="0.25">
      <c r="C354" s="1">
        <v>7002666</v>
      </c>
      <c r="D354" s="1">
        <v>1531</v>
      </c>
      <c r="E354" s="1" t="s">
        <v>356</v>
      </c>
      <c r="F354" s="1">
        <v>0</v>
      </c>
      <c r="G354" s="1" t="s">
        <v>96</v>
      </c>
      <c r="H354" s="1"/>
      <c r="I354" s="1"/>
    </row>
    <row r="355" spans="3:9" x14ac:dyDescent="0.25">
      <c r="C355" s="1">
        <v>7002676</v>
      </c>
      <c r="D355" s="1">
        <v>1531</v>
      </c>
      <c r="E355" s="1" t="s">
        <v>357</v>
      </c>
      <c r="F355" s="1">
        <v>0</v>
      </c>
      <c r="G355" s="1" t="s">
        <v>8</v>
      </c>
      <c r="H355" s="1"/>
      <c r="I355" s="1"/>
    </row>
    <row r="356" spans="3:9" x14ac:dyDescent="0.25">
      <c r="C356" s="1">
        <v>7002682</v>
      </c>
      <c r="D356" s="1">
        <v>1531</v>
      </c>
      <c r="E356" s="1" t="s">
        <v>358</v>
      </c>
      <c r="F356" s="1">
        <v>0</v>
      </c>
      <c r="G356" s="1" t="s">
        <v>13</v>
      </c>
      <c r="H356" s="1"/>
      <c r="I356" s="1"/>
    </row>
    <row r="357" spans="3:9" x14ac:dyDescent="0.25">
      <c r="C357" s="1">
        <v>7002683</v>
      </c>
      <c r="D357" s="1">
        <v>1531</v>
      </c>
      <c r="E357" s="1" t="s">
        <v>359</v>
      </c>
      <c r="F357" s="1">
        <v>0</v>
      </c>
      <c r="G357" s="1" t="s">
        <v>13</v>
      </c>
      <c r="H357" s="1"/>
      <c r="I357" s="1"/>
    </row>
    <row r="358" spans="3:9" x14ac:dyDescent="0.25">
      <c r="C358" s="1">
        <v>7002684</v>
      </c>
      <c r="D358" s="1">
        <v>1531</v>
      </c>
      <c r="E358" s="1" t="s">
        <v>360</v>
      </c>
      <c r="F358" s="1">
        <v>0</v>
      </c>
      <c r="G358" s="1" t="s">
        <v>13</v>
      </c>
      <c r="H358" s="1"/>
      <c r="I358" s="1"/>
    </row>
    <row r="359" spans="3:9" x14ac:dyDescent="0.25">
      <c r="C359" s="1">
        <v>7002685</v>
      </c>
      <c r="D359" s="1">
        <v>1531</v>
      </c>
      <c r="E359" s="1" t="s">
        <v>361</v>
      </c>
      <c r="F359" s="1">
        <v>0</v>
      </c>
      <c r="G359" s="1" t="s">
        <v>13</v>
      </c>
      <c r="H359" s="1"/>
      <c r="I359" s="1"/>
    </row>
    <row r="360" spans="3:9" x14ac:dyDescent="0.25">
      <c r="C360" s="1">
        <v>7002689</v>
      </c>
      <c r="D360" s="1">
        <v>1531</v>
      </c>
      <c r="E360" s="1" t="s">
        <v>362</v>
      </c>
      <c r="F360" s="1">
        <v>0</v>
      </c>
      <c r="G360" s="1" t="s">
        <v>13</v>
      </c>
      <c r="H360" s="1"/>
      <c r="I360" s="1"/>
    </row>
    <row r="361" spans="3:9" x14ac:dyDescent="0.25">
      <c r="C361" s="1">
        <v>7002690</v>
      </c>
      <c r="D361" s="1">
        <v>1531</v>
      </c>
      <c r="E361" s="1" t="s">
        <v>363</v>
      </c>
      <c r="F361" s="1">
        <v>0</v>
      </c>
      <c r="G361" s="1" t="s">
        <v>13</v>
      </c>
      <c r="H361" s="1"/>
      <c r="I361" s="1"/>
    </row>
    <row r="362" spans="3:9" x14ac:dyDescent="0.25">
      <c r="C362" s="1">
        <v>7002695</v>
      </c>
      <c r="D362" s="1">
        <v>1531</v>
      </c>
      <c r="E362" s="1" t="s">
        <v>364</v>
      </c>
      <c r="F362" s="1">
        <v>0</v>
      </c>
      <c r="G362" s="1" t="s">
        <v>13</v>
      </c>
      <c r="H362" s="1"/>
      <c r="I362" s="1"/>
    </row>
    <row r="363" spans="3:9" x14ac:dyDescent="0.25">
      <c r="C363" s="1">
        <v>7002698</v>
      </c>
      <c r="D363" s="1">
        <v>1531</v>
      </c>
      <c r="E363" s="1" t="s">
        <v>365</v>
      </c>
      <c r="F363" s="1">
        <v>0</v>
      </c>
      <c r="G363" s="1" t="s">
        <v>13</v>
      </c>
      <c r="H363" s="1"/>
      <c r="I363" s="1"/>
    </row>
    <row r="364" spans="3:9" x14ac:dyDescent="0.25">
      <c r="C364" s="1">
        <v>7002699</v>
      </c>
      <c r="D364" s="1">
        <v>1531</v>
      </c>
      <c r="E364" s="1" t="s">
        <v>366</v>
      </c>
      <c r="F364" s="1">
        <v>0</v>
      </c>
      <c r="G364" s="1" t="s">
        <v>13</v>
      </c>
      <c r="H364" s="1"/>
      <c r="I364" s="1"/>
    </row>
    <row r="365" spans="3:9" x14ac:dyDescent="0.25">
      <c r="C365" s="1">
        <v>7002712</v>
      </c>
      <c r="D365" s="1">
        <v>1531</v>
      </c>
      <c r="E365" s="1" t="s">
        <v>367</v>
      </c>
      <c r="F365" s="1">
        <v>0</v>
      </c>
      <c r="G365" s="1" t="s">
        <v>13</v>
      </c>
      <c r="H365" s="1"/>
      <c r="I365" s="1"/>
    </row>
    <row r="366" spans="3:9" x14ac:dyDescent="0.25">
      <c r="C366" s="1">
        <v>7002713</v>
      </c>
      <c r="D366" s="1">
        <v>1531</v>
      </c>
      <c r="E366" s="1" t="s">
        <v>368</v>
      </c>
      <c r="F366" s="1">
        <v>0</v>
      </c>
      <c r="G366" s="1" t="s">
        <v>13</v>
      </c>
      <c r="H366" s="1"/>
      <c r="I366" s="1"/>
    </row>
    <row r="367" spans="3:9" x14ac:dyDescent="0.25">
      <c r="C367" s="1">
        <v>7002719</v>
      </c>
      <c r="D367" s="1">
        <v>1531</v>
      </c>
      <c r="E367" s="1" t="s">
        <v>369</v>
      </c>
      <c r="F367" s="1">
        <v>0</v>
      </c>
      <c r="G367" s="1" t="s">
        <v>13</v>
      </c>
      <c r="H367" s="1"/>
      <c r="I367" s="1"/>
    </row>
    <row r="368" spans="3:9" x14ac:dyDescent="0.25">
      <c r="C368" s="1">
        <v>7002722</v>
      </c>
      <c r="D368" s="1">
        <v>1531</v>
      </c>
      <c r="E368" s="1" t="s">
        <v>370</v>
      </c>
      <c r="F368" s="1">
        <v>0</v>
      </c>
      <c r="G368" s="1" t="s">
        <v>13</v>
      </c>
      <c r="H368" s="1"/>
      <c r="I368" s="1"/>
    </row>
    <row r="369" spans="3:9" x14ac:dyDescent="0.25">
      <c r="C369" s="1">
        <v>7002729</v>
      </c>
      <c r="D369" s="1">
        <v>1531</v>
      </c>
      <c r="E369" s="1" t="s">
        <v>371</v>
      </c>
      <c r="F369" s="1">
        <v>28.452000000000002</v>
      </c>
      <c r="G369" s="1" t="s">
        <v>13</v>
      </c>
      <c r="H369" s="1"/>
      <c r="I369" s="1"/>
    </row>
    <row r="370" spans="3:9" x14ac:dyDescent="0.25">
      <c r="C370" s="1">
        <v>7002739</v>
      </c>
      <c r="D370" s="1">
        <v>1531</v>
      </c>
      <c r="E370" s="1" t="s">
        <v>372</v>
      </c>
      <c r="F370" s="1">
        <v>0</v>
      </c>
      <c r="G370" s="1" t="s">
        <v>13</v>
      </c>
      <c r="H370" s="1"/>
      <c r="I370" s="1"/>
    </row>
    <row r="371" spans="3:9" x14ac:dyDescent="0.25">
      <c r="C371" s="1">
        <v>7002740</v>
      </c>
      <c r="D371" s="1">
        <v>1531</v>
      </c>
      <c r="E371" s="1" t="s">
        <v>373</v>
      </c>
      <c r="F371" s="1">
        <v>0</v>
      </c>
      <c r="G371" s="1" t="s">
        <v>13</v>
      </c>
      <c r="H371" s="1"/>
      <c r="I371" s="1"/>
    </row>
    <row r="372" spans="3:9" x14ac:dyDescent="0.25">
      <c r="C372" s="1">
        <v>7002748</v>
      </c>
      <c r="D372" s="1">
        <v>1531</v>
      </c>
      <c r="E372" s="1" t="s">
        <v>374</v>
      </c>
      <c r="F372" s="1">
        <v>0</v>
      </c>
      <c r="G372" s="1" t="s">
        <v>13</v>
      </c>
      <c r="H372" s="1"/>
      <c r="I372" s="1"/>
    </row>
    <row r="373" spans="3:9" x14ac:dyDescent="0.25">
      <c r="C373" s="1">
        <v>7002776</v>
      </c>
      <c r="D373" s="1">
        <v>1531</v>
      </c>
      <c r="E373" s="1" t="s">
        <v>375</v>
      </c>
      <c r="F373" s="1">
        <v>0</v>
      </c>
      <c r="G373" s="1" t="s">
        <v>96</v>
      </c>
      <c r="H373" s="1"/>
      <c r="I373" s="1"/>
    </row>
    <row r="374" spans="3:9" x14ac:dyDescent="0.25">
      <c r="C374" s="1">
        <v>7002790</v>
      </c>
      <c r="D374" s="1">
        <v>1531</v>
      </c>
      <c r="E374" s="1" t="s">
        <v>376</v>
      </c>
      <c r="F374" s="1">
        <v>381</v>
      </c>
      <c r="G374" s="1" t="s">
        <v>96</v>
      </c>
      <c r="H374" s="1"/>
      <c r="I374" s="1"/>
    </row>
    <row r="375" spans="3:9" x14ac:dyDescent="0.25">
      <c r="C375" s="1">
        <v>7002808</v>
      </c>
      <c r="D375" s="1">
        <v>1531</v>
      </c>
      <c r="E375" s="1" t="s">
        <v>377</v>
      </c>
      <c r="F375" s="1">
        <v>0</v>
      </c>
      <c r="G375" s="1" t="s">
        <v>13</v>
      </c>
      <c r="H375" s="1"/>
      <c r="I375" s="1"/>
    </row>
    <row r="376" spans="3:9" x14ac:dyDescent="0.25">
      <c r="C376" s="1">
        <v>7002857</v>
      </c>
      <c r="D376" s="1">
        <v>1531</v>
      </c>
      <c r="E376" s="1" t="s">
        <v>378</v>
      </c>
      <c r="F376" s="1">
        <v>0</v>
      </c>
      <c r="G376" s="1" t="s">
        <v>8</v>
      </c>
      <c r="H376" s="1"/>
      <c r="I376" s="1"/>
    </row>
    <row r="377" spans="3:9" x14ac:dyDescent="0.25">
      <c r="C377" s="1">
        <v>7002860</v>
      </c>
      <c r="D377" s="1">
        <v>1531</v>
      </c>
      <c r="E377" s="1" t="s">
        <v>379</v>
      </c>
      <c r="F377" s="1">
        <v>0</v>
      </c>
      <c r="G377" s="1" t="s">
        <v>96</v>
      </c>
      <c r="H377" s="1"/>
      <c r="I377" s="1"/>
    </row>
    <row r="378" spans="3:9" x14ac:dyDescent="0.25">
      <c r="C378" s="1">
        <v>7003019</v>
      </c>
      <c r="D378" s="1">
        <v>1531</v>
      </c>
      <c r="E378" s="1" t="s">
        <v>380</v>
      </c>
      <c r="F378" s="1">
        <v>37680.9</v>
      </c>
      <c r="G378" s="1" t="s">
        <v>96</v>
      </c>
      <c r="H378" s="1"/>
      <c r="I378" s="1"/>
    </row>
    <row r="379" spans="3:9" x14ac:dyDescent="0.25">
      <c r="C379" s="1">
        <v>7003041</v>
      </c>
      <c r="D379" s="1">
        <v>1531</v>
      </c>
      <c r="E379" s="1" t="s">
        <v>381</v>
      </c>
      <c r="F379" s="1">
        <v>0</v>
      </c>
      <c r="G379" s="1" t="s">
        <v>13</v>
      </c>
      <c r="H379" s="1"/>
      <c r="I379" s="1"/>
    </row>
    <row r="380" spans="3:9" x14ac:dyDescent="0.25">
      <c r="C380" s="1">
        <v>7003042</v>
      </c>
      <c r="D380" s="1">
        <v>1531</v>
      </c>
      <c r="E380" s="1" t="s">
        <v>382</v>
      </c>
      <c r="F380" s="1">
        <v>0</v>
      </c>
      <c r="G380" s="1" t="s">
        <v>13</v>
      </c>
      <c r="H380" s="1"/>
      <c r="I380" s="1"/>
    </row>
    <row r="381" spans="3:9" x14ac:dyDescent="0.25">
      <c r="C381" s="1">
        <v>7003045</v>
      </c>
      <c r="D381" s="1">
        <v>1531</v>
      </c>
      <c r="E381" s="1" t="s">
        <v>383</v>
      </c>
      <c r="F381" s="1">
        <v>0</v>
      </c>
      <c r="G381" s="1" t="s">
        <v>13</v>
      </c>
      <c r="H381" s="1"/>
      <c r="I381" s="1"/>
    </row>
    <row r="382" spans="3:9" x14ac:dyDescent="0.25">
      <c r="C382" s="1">
        <v>7003403</v>
      </c>
      <c r="D382" s="1">
        <v>1531</v>
      </c>
      <c r="E382" s="1" t="s">
        <v>384</v>
      </c>
      <c r="F382" s="1">
        <v>0</v>
      </c>
      <c r="G382" s="1" t="s">
        <v>96</v>
      </c>
      <c r="H382" s="1"/>
      <c r="I382" s="1"/>
    </row>
    <row r="383" spans="3:9" x14ac:dyDescent="0.25">
      <c r="C383" s="1">
        <v>7003470</v>
      </c>
      <c r="D383" s="1">
        <v>1531</v>
      </c>
      <c r="E383" s="1" t="s">
        <v>385</v>
      </c>
      <c r="F383" s="1">
        <v>0</v>
      </c>
      <c r="G383" s="1" t="s">
        <v>13</v>
      </c>
      <c r="H383" s="1"/>
      <c r="I383" s="1"/>
    </row>
    <row r="384" spans="3:9" x14ac:dyDescent="0.25">
      <c r="C384" s="1">
        <v>7003487</v>
      </c>
      <c r="D384" s="1">
        <v>1531</v>
      </c>
      <c r="E384" s="1" t="s">
        <v>386</v>
      </c>
      <c r="F384" s="1">
        <v>0</v>
      </c>
      <c r="G384" s="1" t="s">
        <v>13</v>
      </c>
      <c r="H384" s="1"/>
      <c r="I384" s="1"/>
    </row>
    <row r="385" spans="3:9" x14ac:dyDescent="0.25">
      <c r="C385" s="1">
        <v>7003496</v>
      </c>
      <c r="D385" s="1">
        <v>1531</v>
      </c>
      <c r="E385" s="1" t="s">
        <v>387</v>
      </c>
      <c r="F385" s="1">
        <v>0</v>
      </c>
      <c r="G385" s="1" t="s">
        <v>13</v>
      </c>
      <c r="H385" s="1"/>
      <c r="I385" s="1"/>
    </row>
    <row r="386" spans="3:9" x14ac:dyDescent="0.25">
      <c r="C386" s="1">
        <v>7003506</v>
      </c>
      <c r="D386" s="1">
        <v>1531</v>
      </c>
      <c r="E386" s="1" t="s">
        <v>388</v>
      </c>
      <c r="F386" s="1">
        <v>0</v>
      </c>
      <c r="G386" s="1" t="s">
        <v>96</v>
      </c>
      <c r="H386" s="1"/>
      <c r="I386" s="1"/>
    </row>
    <row r="387" spans="3:9" x14ac:dyDescent="0.25">
      <c r="C387" s="1">
        <v>7003507</v>
      </c>
      <c r="D387" s="1">
        <v>1531</v>
      </c>
      <c r="E387" s="1" t="s">
        <v>389</v>
      </c>
      <c r="F387" s="1">
        <v>0</v>
      </c>
      <c r="G387" s="1" t="s">
        <v>96</v>
      </c>
      <c r="H387" s="1"/>
      <c r="I387" s="1"/>
    </row>
    <row r="388" spans="3:9" x14ac:dyDescent="0.25">
      <c r="C388" s="1">
        <v>7003508</v>
      </c>
      <c r="D388" s="1">
        <v>1531</v>
      </c>
      <c r="E388" s="1" t="s">
        <v>390</v>
      </c>
      <c r="F388" s="1">
        <v>0</v>
      </c>
      <c r="G388" s="1" t="s">
        <v>13</v>
      </c>
      <c r="H388" s="1"/>
      <c r="I388" s="1"/>
    </row>
    <row r="389" spans="3:9" x14ac:dyDescent="0.25">
      <c r="C389" s="1">
        <v>7003552</v>
      </c>
      <c r="D389" s="1">
        <v>1531</v>
      </c>
      <c r="E389" s="1" t="s">
        <v>391</v>
      </c>
      <c r="F389" s="1">
        <v>0</v>
      </c>
      <c r="G389" s="1" t="s">
        <v>13</v>
      </c>
      <c r="H389" s="1"/>
      <c r="I389" s="1"/>
    </row>
    <row r="390" spans="3:9" x14ac:dyDescent="0.25">
      <c r="C390" s="1">
        <v>7003578</v>
      </c>
      <c r="D390" s="1">
        <v>1531</v>
      </c>
      <c r="E390" s="1" t="s">
        <v>392</v>
      </c>
      <c r="F390" s="1">
        <v>0</v>
      </c>
      <c r="G390" s="1" t="s">
        <v>13</v>
      </c>
      <c r="H390" s="1"/>
      <c r="I390" s="1"/>
    </row>
    <row r="391" spans="3:9" x14ac:dyDescent="0.25">
      <c r="C391" s="1">
        <v>7003584</v>
      </c>
      <c r="D391" s="1">
        <v>1531</v>
      </c>
      <c r="E391" s="1" t="s">
        <v>393</v>
      </c>
      <c r="F391" s="1">
        <v>0</v>
      </c>
      <c r="G391" s="1" t="s">
        <v>96</v>
      </c>
      <c r="H391" s="1"/>
      <c r="I391" s="1"/>
    </row>
    <row r="392" spans="3:9" x14ac:dyDescent="0.25">
      <c r="C392" s="1">
        <v>7003647</v>
      </c>
      <c r="D392" s="1">
        <v>1531</v>
      </c>
      <c r="E392" s="1" t="s">
        <v>394</v>
      </c>
      <c r="F392" s="1">
        <v>1020</v>
      </c>
      <c r="G392" s="1" t="s">
        <v>96</v>
      </c>
      <c r="H392" s="1"/>
      <c r="I392" s="1"/>
    </row>
    <row r="393" spans="3:9" x14ac:dyDescent="0.25">
      <c r="C393" s="1">
        <v>7003651</v>
      </c>
      <c r="D393" s="1">
        <v>1531</v>
      </c>
      <c r="E393" s="1" t="s">
        <v>395</v>
      </c>
      <c r="F393" s="1">
        <v>0</v>
      </c>
      <c r="G393" s="1" t="s">
        <v>96</v>
      </c>
      <c r="H393" s="1"/>
      <c r="I393" s="1"/>
    </row>
    <row r="394" spans="3:9" x14ac:dyDescent="0.25">
      <c r="C394" s="1">
        <v>7003652</v>
      </c>
      <c r="D394" s="1">
        <v>1531</v>
      </c>
      <c r="E394" s="1" t="s">
        <v>396</v>
      </c>
      <c r="F394" s="1">
        <v>0</v>
      </c>
      <c r="G394" s="1" t="s">
        <v>96</v>
      </c>
      <c r="H394" s="1"/>
      <c r="I394" s="1"/>
    </row>
    <row r="395" spans="3:9" x14ac:dyDescent="0.25">
      <c r="C395" s="1">
        <v>7003665</v>
      </c>
      <c r="D395" s="1">
        <v>1531</v>
      </c>
      <c r="E395" s="1" t="s">
        <v>397</v>
      </c>
      <c r="F395" s="1">
        <v>0</v>
      </c>
      <c r="G395" s="1" t="s">
        <v>96</v>
      </c>
      <c r="H395" s="1"/>
      <c r="I395" s="1"/>
    </row>
    <row r="396" spans="3:9" x14ac:dyDescent="0.25">
      <c r="C396" s="1">
        <v>7003666</v>
      </c>
      <c r="D396" s="1">
        <v>1531</v>
      </c>
      <c r="E396" s="1" t="s">
        <v>398</v>
      </c>
      <c r="F396" s="1">
        <v>0</v>
      </c>
      <c r="G396" s="1" t="s">
        <v>13</v>
      </c>
      <c r="H396" s="1"/>
      <c r="I396" s="1"/>
    </row>
    <row r="397" spans="3:9" x14ac:dyDescent="0.25">
      <c r="C397" s="1">
        <v>7003672</v>
      </c>
      <c r="D397" s="1">
        <v>1531</v>
      </c>
      <c r="E397" s="1" t="s">
        <v>399</v>
      </c>
      <c r="F397" s="1">
        <v>0</v>
      </c>
      <c r="G397" s="1" t="s">
        <v>96</v>
      </c>
      <c r="H397" s="1"/>
      <c r="I397" s="1"/>
    </row>
    <row r="398" spans="3:9" x14ac:dyDescent="0.25">
      <c r="C398" s="1">
        <v>7003689</v>
      </c>
      <c r="D398" s="1">
        <v>1531</v>
      </c>
      <c r="E398" s="1" t="s">
        <v>400</v>
      </c>
      <c r="F398" s="1">
        <v>0</v>
      </c>
      <c r="G398" s="1" t="s">
        <v>8</v>
      </c>
      <c r="H398" s="1"/>
      <c r="I398" s="1"/>
    </row>
    <row r="399" spans="3:9" x14ac:dyDescent="0.25">
      <c r="C399" s="1">
        <v>7003811</v>
      </c>
      <c r="D399" s="1">
        <v>1531</v>
      </c>
      <c r="E399" s="1" t="s">
        <v>401</v>
      </c>
      <c r="F399" s="1">
        <v>0</v>
      </c>
      <c r="G399" s="1" t="s">
        <v>13</v>
      </c>
      <c r="H399" s="1"/>
      <c r="I399" s="1"/>
    </row>
    <row r="400" spans="3:9" x14ac:dyDescent="0.25">
      <c r="C400" s="1">
        <v>7003812</v>
      </c>
      <c r="D400" s="1">
        <v>1531</v>
      </c>
      <c r="E400" s="1" t="s">
        <v>402</v>
      </c>
      <c r="F400" s="1">
        <v>0</v>
      </c>
      <c r="G400" s="1" t="s">
        <v>13</v>
      </c>
      <c r="H400" s="1"/>
      <c r="I400" s="1"/>
    </row>
    <row r="401" spans="3:9" x14ac:dyDescent="0.25">
      <c r="C401" s="1">
        <v>7003832</v>
      </c>
      <c r="D401" s="1">
        <v>1531</v>
      </c>
      <c r="E401" s="1" t="s">
        <v>403</v>
      </c>
      <c r="F401" s="1">
        <v>0</v>
      </c>
      <c r="G401" s="1" t="s">
        <v>13</v>
      </c>
      <c r="H401" s="1"/>
      <c r="I401" s="1"/>
    </row>
    <row r="402" spans="3:9" x14ac:dyDescent="0.25">
      <c r="C402" s="1">
        <v>7003854</v>
      </c>
      <c r="D402" s="1">
        <v>1531</v>
      </c>
      <c r="E402" s="1" t="s">
        <v>404</v>
      </c>
      <c r="F402" s="1">
        <v>0</v>
      </c>
      <c r="G402" s="1" t="s">
        <v>13</v>
      </c>
      <c r="H402" s="1"/>
      <c r="I402" s="1"/>
    </row>
    <row r="403" spans="3:9" x14ac:dyDescent="0.25">
      <c r="C403" s="1">
        <v>7003859</v>
      </c>
      <c r="D403" s="1">
        <v>1531</v>
      </c>
      <c r="E403" s="1" t="s">
        <v>405</v>
      </c>
      <c r="F403" s="1">
        <v>0</v>
      </c>
      <c r="G403" s="1" t="s">
        <v>13</v>
      </c>
      <c r="H403" s="1"/>
      <c r="I403" s="1"/>
    </row>
    <row r="404" spans="3:9" x14ac:dyDescent="0.25">
      <c r="C404" s="1">
        <v>7003880</v>
      </c>
      <c r="D404" s="1">
        <v>1531</v>
      </c>
      <c r="E404" s="1" t="s">
        <v>406</v>
      </c>
      <c r="F404" s="1">
        <v>0</v>
      </c>
      <c r="G404" s="1" t="s">
        <v>13</v>
      </c>
      <c r="H404" s="1"/>
      <c r="I404" s="1"/>
    </row>
    <row r="405" spans="3:9" x14ac:dyDescent="0.25">
      <c r="C405" s="1">
        <v>7003881</v>
      </c>
      <c r="D405" s="1">
        <v>1531</v>
      </c>
      <c r="E405" s="1" t="s">
        <v>407</v>
      </c>
      <c r="F405" s="1">
        <v>0</v>
      </c>
      <c r="G405" s="1" t="s">
        <v>13</v>
      </c>
      <c r="H405" s="1"/>
      <c r="I405" s="1"/>
    </row>
    <row r="406" spans="3:9" x14ac:dyDescent="0.25">
      <c r="C406" s="1">
        <v>7003892</v>
      </c>
      <c r="D406" s="1">
        <v>1531</v>
      </c>
      <c r="E406" s="1" t="s">
        <v>408</v>
      </c>
      <c r="F406" s="1">
        <v>0</v>
      </c>
      <c r="G406" s="1" t="s">
        <v>13</v>
      </c>
      <c r="H406" s="1"/>
      <c r="I406" s="1"/>
    </row>
    <row r="407" spans="3:9" x14ac:dyDescent="0.25">
      <c r="C407" s="1">
        <v>7003898</v>
      </c>
      <c r="D407" s="1">
        <v>1531</v>
      </c>
      <c r="E407" s="1" t="s">
        <v>409</v>
      </c>
      <c r="F407" s="1">
        <v>0</v>
      </c>
      <c r="G407" s="1" t="s">
        <v>13</v>
      </c>
      <c r="H407" s="1"/>
      <c r="I407" s="1"/>
    </row>
    <row r="408" spans="3:9" x14ac:dyDescent="0.25">
      <c r="C408" s="1">
        <v>7004038</v>
      </c>
      <c r="D408" s="1">
        <v>1531</v>
      </c>
      <c r="E408" s="1" t="s">
        <v>410</v>
      </c>
      <c r="F408" s="1">
        <v>0</v>
      </c>
      <c r="G408" s="1" t="s">
        <v>13</v>
      </c>
      <c r="H408" s="1"/>
      <c r="I408" s="1"/>
    </row>
    <row r="409" spans="3:9" x14ac:dyDescent="0.25">
      <c r="C409" s="1">
        <v>7004041</v>
      </c>
      <c r="D409" s="1">
        <v>1531</v>
      </c>
      <c r="E409" s="1" t="s">
        <v>411</v>
      </c>
      <c r="F409" s="1">
        <v>0</v>
      </c>
      <c r="G409" s="1" t="s">
        <v>13</v>
      </c>
      <c r="H409" s="1"/>
      <c r="I409" s="1"/>
    </row>
    <row r="410" spans="3:9" x14ac:dyDescent="0.25">
      <c r="C410" s="1">
        <v>7004050</v>
      </c>
      <c r="D410" s="1">
        <v>1531</v>
      </c>
      <c r="E410" s="1" t="s">
        <v>412</v>
      </c>
      <c r="F410" s="1">
        <v>0</v>
      </c>
      <c r="G410" s="1" t="s">
        <v>13</v>
      </c>
      <c r="H410" s="1"/>
      <c r="I410" s="1"/>
    </row>
    <row r="411" spans="3:9" x14ac:dyDescent="0.25">
      <c r="C411" s="1">
        <v>7004105</v>
      </c>
      <c r="D411" s="1">
        <v>1531</v>
      </c>
      <c r="E411" s="1" t="s">
        <v>413</v>
      </c>
      <c r="F411" s="1">
        <v>0</v>
      </c>
      <c r="G411" s="1" t="s">
        <v>96</v>
      </c>
      <c r="H411" s="1"/>
      <c r="I411" s="1"/>
    </row>
    <row r="412" spans="3:9" x14ac:dyDescent="0.25">
      <c r="C412" s="1">
        <v>7004106</v>
      </c>
      <c r="D412" s="1">
        <v>1531</v>
      </c>
      <c r="E412" s="1" t="s">
        <v>414</v>
      </c>
      <c r="F412" s="1">
        <v>0</v>
      </c>
      <c r="G412" s="1" t="s">
        <v>96</v>
      </c>
      <c r="H412" s="1"/>
      <c r="I412" s="1"/>
    </row>
    <row r="413" spans="3:9" x14ac:dyDescent="0.25">
      <c r="C413" s="1">
        <v>7004121</v>
      </c>
      <c r="D413" s="1">
        <v>1531</v>
      </c>
      <c r="E413" s="1" t="s">
        <v>415</v>
      </c>
      <c r="F413" s="1">
        <v>0</v>
      </c>
      <c r="G413" s="1" t="s">
        <v>96</v>
      </c>
      <c r="H413" s="1"/>
      <c r="I413" s="1"/>
    </row>
    <row r="414" spans="3:9" x14ac:dyDescent="0.25">
      <c r="C414" s="1">
        <v>7004125</v>
      </c>
      <c r="D414" s="1">
        <v>1531</v>
      </c>
      <c r="E414" s="1" t="s">
        <v>416</v>
      </c>
      <c r="F414" s="1">
        <v>0</v>
      </c>
      <c r="G414" s="1" t="s">
        <v>96</v>
      </c>
      <c r="H414" s="1"/>
      <c r="I414" s="1"/>
    </row>
    <row r="415" spans="3:9" x14ac:dyDescent="0.25">
      <c r="C415" s="1">
        <v>7004136</v>
      </c>
      <c r="D415" s="1">
        <v>1531</v>
      </c>
      <c r="E415" s="1" t="s">
        <v>417</v>
      </c>
      <c r="F415" s="1">
        <v>0</v>
      </c>
      <c r="G415" s="1" t="s">
        <v>13</v>
      </c>
      <c r="H415" s="1"/>
      <c r="I415" s="1"/>
    </row>
    <row r="416" spans="3:9" x14ac:dyDescent="0.25">
      <c r="C416" s="1">
        <v>7004137</v>
      </c>
      <c r="D416" s="1">
        <v>1531</v>
      </c>
      <c r="E416" s="1" t="s">
        <v>418</v>
      </c>
      <c r="F416" s="1">
        <v>0</v>
      </c>
      <c r="G416" s="1" t="s">
        <v>13</v>
      </c>
      <c r="H416" s="1"/>
      <c r="I416" s="1"/>
    </row>
    <row r="417" spans="3:9" x14ac:dyDescent="0.25">
      <c r="C417" s="1">
        <v>7004138</v>
      </c>
      <c r="D417" s="1">
        <v>1531</v>
      </c>
      <c r="E417" s="1" t="s">
        <v>419</v>
      </c>
      <c r="F417" s="1">
        <v>0</v>
      </c>
      <c r="G417" s="1" t="s">
        <v>13</v>
      </c>
      <c r="H417" s="1"/>
      <c r="I417" s="1"/>
    </row>
    <row r="418" spans="3:9" x14ac:dyDescent="0.25">
      <c r="C418" s="1">
        <v>7004139</v>
      </c>
      <c r="D418" s="1">
        <v>1531</v>
      </c>
      <c r="E418" s="1" t="s">
        <v>420</v>
      </c>
      <c r="F418" s="1">
        <v>0</v>
      </c>
      <c r="G418" s="1" t="s">
        <v>13</v>
      </c>
      <c r="H418" s="1"/>
      <c r="I418" s="1"/>
    </row>
    <row r="419" spans="3:9" x14ac:dyDescent="0.25">
      <c r="C419" s="1">
        <v>7004140</v>
      </c>
      <c r="D419" s="1">
        <v>1531</v>
      </c>
      <c r="E419" s="1" t="s">
        <v>421</v>
      </c>
      <c r="F419" s="1">
        <v>0</v>
      </c>
      <c r="G419" s="1" t="s">
        <v>13</v>
      </c>
      <c r="H419" s="1"/>
      <c r="I419" s="1"/>
    </row>
    <row r="420" spans="3:9" x14ac:dyDescent="0.25">
      <c r="C420" s="1">
        <v>7004180</v>
      </c>
      <c r="D420" s="1">
        <v>1531</v>
      </c>
      <c r="E420" s="1" t="s">
        <v>422</v>
      </c>
      <c r="F420" s="1">
        <v>0</v>
      </c>
      <c r="G420" s="1" t="s">
        <v>96</v>
      </c>
      <c r="H420" s="1"/>
      <c r="I420" s="1"/>
    </row>
    <row r="421" spans="3:9" x14ac:dyDescent="0.25">
      <c r="C421" s="1">
        <v>7004197</v>
      </c>
      <c r="D421" s="1">
        <v>1531</v>
      </c>
      <c r="E421" s="1" t="s">
        <v>423</v>
      </c>
      <c r="F421" s="1">
        <v>274689</v>
      </c>
      <c r="G421" s="1" t="s">
        <v>8</v>
      </c>
      <c r="H421" s="1"/>
      <c r="I421" s="1"/>
    </row>
    <row r="422" spans="3:9" x14ac:dyDescent="0.25">
      <c r="C422" s="1">
        <v>7004198</v>
      </c>
      <c r="D422" s="1">
        <v>1531</v>
      </c>
      <c r="E422" s="1" t="s">
        <v>424</v>
      </c>
      <c r="F422" s="1">
        <v>56870</v>
      </c>
      <c r="G422" s="1" t="s">
        <v>8</v>
      </c>
      <c r="H422" s="1"/>
      <c r="I422" s="1"/>
    </row>
    <row r="423" spans="3:9" x14ac:dyDescent="0.25">
      <c r="C423" s="1">
        <v>7004231</v>
      </c>
      <c r="D423" s="1">
        <v>1531</v>
      </c>
      <c r="E423" s="1" t="s">
        <v>425</v>
      </c>
      <c r="F423" s="1">
        <v>0</v>
      </c>
      <c r="G423" s="1" t="s">
        <v>13</v>
      </c>
      <c r="H423" s="1"/>
      <c r="I423" s="1"/>
    </row>
    <row r="424" spans="3:9" x14ac:dyDescent="0.25">
      <c r="C424" s="1">
        <v>7004242</v>
      </c>
      <c r="D424" s="1">
        <v>1531</v>
      </c>
      <c r="E424" s="1" t="s">
        <v>426</v>
      </c>
      <c r="F424" s="1">
        <v>0</v>
      </c>
      <c r="G424" s="1" t="s">
        <v>13</v>
      </c>
      <c r="H424" s="1"/>
      <c r="I424" s="1"/>
    </row>
    <row r="425" spans="3:9" x14ac:dyDescent="0.25">
      <c r="C425" s="1">
        <v>7004250</v>
      </c>
      <c r="D425" s="1">
        <v>1531</v>
      </c>
      <c r="E425" s="1" t="s">
        <v>427</v>
      </c>
      <c r="F425" s="1">
        <v>0</v>
      </c>
      <c r="G425" s="1" t="s">
        <v>13</v>
      </c>
      <c r="H425" s="1"/>
      <c r="I425" s="1"/>
    </row>
    <row r="426" spans="3:9" x14ac:dyDescent="0.25">
      <c r="C426" s="1">
        <v>7004256</v>
      </c>
      <c r="D426" s="1">
        <v>1531</v>
      </c>
      <c r="E426" s="1" t="s">
        <v>428</v>
      </c>
      <c r="F426" s="1">
        <v>0</v>
      </c>
      <c r="G426" s="1" t="s">
        <v>13</v>
      </c>
      <c r="H426" s="1"/>
      <c r="I426" s="1"/>
    </row>
    <row r="427" spans="3:9" x14ac:dyDescent="0.25">
      <c r="C427" s="1">
        <v>7004257</v>
      </c>
      <c r="D427" s="1">
        <v>1531</v>
      </c>
      <c r="E427" s="1" t="s">
        <v>429</v>
      </c>
      <c r="F427" s="1">
        <v>0</v>
      </c>
      <c r="G427" s="1" t="s">
        <v>13</v>
      </c>
      <c r="H427" s="1"/>
      <c r="I427" s="1"/>
    </row>
    <row r="428" spans="3:9" x14ac:dyDescent="0.25">
      <c r="C428" s="1">
        <v>7004305</v>
      </c>
      <c r="D428" s="1">
        <v>1531</v>
      </c>
      <c r="E428" s="1" t="s">
        <v>430</v>
      </c>
      <c r="F428" s="1">
        <v>0</v>
      </c>
      <c r="G428" s="1" t="s">
        <v>13</v>
      </c>
      <c r="H428" s="1"/>
      <c r="I428" s="1"/>
    </row>
    <row r="429" spans="3:9" x14ac:dyDescent="0.25">
      <c r="C429" s="1">
        <v>7004328</v>
      </c>
      <c r="D429" s="1">
        <v>1531</v>
      </c>
      <c r="E429" s="1" t="s">
        <v>431</v>
      </c>
      <c r="F429" s="1">
        <v>0</v>
      </c>
      <c r="G429" s="1" t="s">
        <v>13</v>
      </c>
      <c r="H429" s="1"/>
      <c r="I429" s="1"/>
    </row>
    <row r="430" spans="3:9" x14ac:dyDescent="0.25">
      <c r="C430" s="1">
        <v>7004356</v>
      </c>
      <c r="D430" s="1">
        <v>1531</v>
      </c>
      <c r="E430" s="1" t="s">
        <v>432</v>
      </c>
      <c r="F430" s="1">
        <v>0</v>
      </c>
      <c r="G430" s="1" t="s">
        <v>8</v>
      </c>
      <c r="H430" s="1"/>
      <c r="I430" s="1"/>
    </row>
    <row r="431" spans="3:9" x14ac:dyDescent="0.25">
      <c r="C431" s="1">
        <v>7004371</v>
      </c>
      <c r="D431" s="1">
        <v>1531</v>
      </c>
      <c r="E431" s="1" t="s">
        <v>433</v>
      </c>
      <c r="F431" s="1">
        <v>0</v>
      </c>
      <c r="G431" s="1" t="s">
        <v>13</v>
      </c>
      <c r="H431" s="1"/>
      <c r="I431" s="1"/>
    </row>
    <row r="432" spans="3:9" x14ac:dyDescent="0.25">
      <c r="C432" s="1">
        <v>7004591</v>
      </c>
      <c r="D432" s="1">
        <v>1531</v>
      </c>
      <c r="E432" s="1" t="s">
        <v>434</v>
      </c>
      <c r="F432" s="1">
        <v>0</v>
      </c>
      <c r="G432" s="1" t="s">
        <v>13</v>
      </c>
      <c r="H432" s="1"/>
      <c r="I432" s="1"/>
    </row>
    <row r="433" spans="3:9" x14ac:dyDescent="0.25">
      <c r="C433" s="1">
        <v>7004652</v>
      </c>
      <c r="D433" s="1">
        <v>1531</v>
      </c>
      <c r="E433" s="1" t="s">
        <v>435</v>
      </c>
      <c r="F433" s="1">
        <v>0</v>
      </c>
      <c r="G433" s="1" t="s">
        <v>13</v>
      </c>
      <c r="H433" s="1"/>
      <c r="I433" s="1"/>
    </row>
    <row r="434" spans="3:9" x14ac:dyDescent="0.25">
      <c r="C434" s="1">
        <v>7004673</v>
      </c>
      <c r="D434" s="1">
        <v>1531</v>
      </c>
      <c r="E434" s="1" t="s">
        <v>436</v>
      </c>
      <c r="F434" s="1">
        <v>0</v>
      </c>
      <c r="G434" s="1" t="s">
        <v>13</v>
      </c>
      <c r="H434" s="1"/>
      <c r="I434" s="1"/>
    </row>
    <row r="435" spans="3:9" x14ac:dyDescent="0.25">
      <c r="C435" s="1">
        <v>7004674</v>
      </c>
      <c r="D435" s="1">
        <v>1531</v>
      </c>
      <c r="E435" s="1" t="s">
        <v>437</v>
      </c>
      <c r="F435" s="1">
        <v>0</v>
      </c>
      <c r="G435" s="1" t="s">
        <v>13</v>
      </c>
      <c r="H435" s="1"/>
      <c r="I435" s="1"/>
    </row>
    <row r="436" spans="3:9" x14ac:dyDescent="0.25">
      <c r="C436" s="1">
        <v>7004678</v>
      </c>
      <c r="D436" s="1">
        <v>1531</v>
      </c>
      <c r="E436" s="1" t="s">
        <v>438</v>
      </c>
      <c r="F436" s="1">
        <v>0</v>
      </c>
      <c r="G436" s="1" t="s">
        <v>13</v>
      </c>
      <c r="H436" s="1"/>
      <c r="I436" s="1"/>
    </row>
    <row r="437" spans="3:9" x14ac:dyDescent="0.25">
      <c r="C437" s="1">
        <v>7004679</v>
      </c>
      <c r="D437" s="1">
        <v>1531</v>
      </c>
      <c r="E437" s="1" t="s">
        <v>439</v>
      </c>
      <c r="F437" s="1">
        <v>0</v>
      </c>
      <c r="G437" s="1" t="s">
        <v>13</v>
      </c>
      <c r="H437" s="1"/>
      <c r="I437" s="1"/>
    </row>
    <row r="438" spans="3:9" x14ac:dyDescent="0.25">
      <c r="C438" s="1">
        <v>7004682</v>
      </c>
      <c r="D438" s="1">
        <v>1531</v>
      </c>
      <c r="E438" s="1" t="s">
        <v>440</v>
      </c>
      <c r="F438" s="1">
        <v>0</v>
      </c>
      <c r="G438" s="1" t="s">
        <v>13</v>
      </c>
      <c r="H438" s="1"/>
      <c r="I438" s="1"/>
    </row>
    <row r="439" spans="3:9" x14ac:dyDescent="0.25">
      <c r="C439" s="1">
        <v>7004683</v>
      </c>
      <c r="D439" s="1">
        <v>1531</v>
      </c>
      <c r="E439" s="1" t="s">
        <v>441</v>
      </c>
      <c r="F439" s="1">
        <v>0</v>
      </c>
      <c r="G439" s="1" t="s">
        <v>13</v>
      </c>
      <c r="H439" s="1"/>
      <c r="I439" s="1"/>
    </row>
    <row r="440" spans="3:9" x14ac:dyDescent="0.25">
      <c r="C440" s="1">
        <v>7004684</v>
      </c>
      <c r="D440" s="1">
        <v>1531</v>
      </c>
      <c r="E440" s="1" t="s">
        <v>442</v>
      </c>
      <c r="F440" s="1">
        <v>0</v>
      </c>
      <c r="G440" s="1" t="s">
        <v>13</v>
      </c>
      <c r="H440" s="1"/>
      <c r="I440" s="1"/>
    </row>
    <row r="441" spans="3:9" x14ac:dyDescent="0.25">
      <c r="C441" s="1">
        <v>7004685</v>
      </c>
      <c r="D441" s="1">
        <v>1531</v>
      </c>
      <c r="E441" s="1" t="s">
        <v>443</v>
      </c>
      <c r="F441" s="1">
        <v>0</v>
      </c>
      <c r="G441" s="1" t="s">
        <v>13</v>
      </c>
      <c r="H441" s="1"/>
      <c r="I441" s="1"/>
    </row>
    <row r="442" spans="3:9" x14ac:dyDescent="0.25">
      <c r="C442" s="1">
        <v>7004686</v>
      </c>
      <c r="D442" s="1">
        <v>1531</v>
      </c>
      <c r="E442" s="1" t="s">
        <v>444</v>
      </c>
      <c r="F442" s="1">
        <v>0</v>
      </c>
      <c r="G442" s="1" t="s">
        <v>13</v>
      </c>
      <c r="H442" s="1"/>
      <c r="I442" s="1"/>
    </row>
    <row r="443" spans="3:9" x14ac:dyDescent="0.25">
      <c r="C443" s="1">
        <v>7004687</v>
      </c>
      <c r="D443" s="1">
        <v>1531</v>
      </c>
      <c r="E443" s="1" t="s">
        <v>445</v>
      </c>
      <c r="F443" s="1">
        <v>0</v>
      </c>
      <c r="G443" s="1" t="s">
        <v>13</v>
      </c>
      <c r="H443" s="1"/>
      <c r="I443" s="1"/>
    </row>
    <row r="444" spans="3:9" x14ac:dyDescent="0.25">
      <c r="C444" s="1">
        <v>7004688</v>
      </c>
      <c r="D444" s="1">
        <v>1531</v>
      </c>
      <c r="E444" s="1" t="s">
        <v>446</v>
      </c>
      <c r="F444" s="1">
        <v>0</v>
      </c>
      <c r="G444" s="1" t="s">
        <v>13</v>
      </c>
      <c r="H444" s="1"/>
      <c r="I444" s="1"/>
    </row>
    <row r="445" spans="3:9" x14ac:dyDescent="0.25">
      <c r="C445" s="1">
        <v>7004724</v>
      </c>
      <c r="D445" s="1">
        <v>1531</v>
      </c>
      <c r="E445" s="1" t="s">
        <v>447</v>
      </c>
      <c r="F445" s="1">
        <v>0</v>
      </c>
      <c r="G445" s="1" t="s">
        <v>13</v>
      </c>
      <c r="H445" s="1"/>
      <c r="I445" s="1"/>
    </row>
    <row r="446" spans="3:9" x14ac:dyDescent="0.25">
      <c r="C446" s="1">
        <v>7004728</v>
      </c>
      <c r="D446" s="1">
        <v>1531</v>
      </c>
      <c r="E446" s="1" t="s">
        <v>448</v>
      </c>
      <c r="F446" s="1">
        <v>0</v>
      </c>
      <c r="G446" s="1" t="s">
        <v>96</v>
      </c>
      <c r="H446" s="1"/>
      <c r="I446" s="1"/>
    </row>
    <row r="447" spans="3:9" x14ac:dyDescent="0.25">
      <c r="C447" s="1">
        <v>7004745</v>
      </c>
      <c r="D447" s="1">
        <v>1531</v>
      </c>
      <c r="E447" s="1" t="s">
        <v>449</v>
      </c>
      <c r="F447" s="1">
        <v>56912.26</v>
      </c>
      <c r="G447" s="1" t="s">
        <v>96</v>
      </c>
      <c r="H447" s="1"/>
      <c r="I447" s="1"/>
    </row>
    <row r="448" spans="3:9" x14ac:dyDescent="0.25">
      <c r="C448" s="1">
        <v>7004767</v>
      </c>
      <c r="D448" s="1">
        <v>1531</v>
      </c>
      <c r="E448" s="1" t="s">
        <v>450</v>
      </c>
      <c r="F448" s="1">
        <v>0</v>
      </c>
      <c r="G448" s="1" t="s">
        <v>13</v>
      </c>
      <c r="H448" s="1"/>
      <c r="I448" s="1"/>
    </row>
    <row r="449" spans="3:9" x14ac:dyDescent="0.25">
      <c r="C449" s="1">
        <v>7004776</v>
      </c>
      <c r="D449" s="1">
        <v>1531</v>
      </c>
      <c r="E449" s="1" t="s">
        <v>451</v>
      </c>
      <c r="F449" s="1">
        <v>0</v>
      </c>
      <c r="G449" s="1" t="s">
        <v>96</v>
      </c>
      <c r="H449" s="1"/>
      <c r="I449" s="1"/>
    </row>
    <row r="450" spans="3:9" x14ac:dyDescent="0.25">
      <c r="C450" s="1">
        <v>7004816</v>
      </c>
      <c r="D450" s="1">
        <v>1531</v>
      </c>
      <c r="E450" s="1" t="s">
        <v>452</v>
      </c>
      <c r="F450" s="1">
        <v>0</v>
      </c>
      <c r="G450" s="1" t="s">
        <v>96</v>
      </c>
      <c r="H450" s="1"/>
      <c r="I450" s="1"/>
    </row>
    <row r="451" spans="3:9" x14ac:dyDescent="0.25">
      <c r="C451" s="1">
        <v>7004888</v>
      </c>
      <c r="D451" s="1">
        <v>1531</v>
      </c>
      <c r="E451" s="1" t="s">
        <v>453</v>
      </c>
      <c r="F451" s="1">
        <v>0</v>
      </c>
      <c r="G451" s="1" t="s">
        <v>13</v>
      </c>
      <c r="H451" s="1"/>
      <c r="I451" s="1"/>
    </row>
    <row r="452" spans="3:9" x14ac:dyDescent="0.25">
      <c r="C452" s="1">
        <v>7004910</v>
      </c>
      <c r="D452" s="1">
        <v>1531</v>
      </c>
      <c r="E452" s="1" t="s">
        <v>454</v>
      </c>
      <c r="F452" s="1">
        <v>8648.7000000000007</v>
      </c>
      <c r="G452" s="1" t="s">
        <v>96</v>
      </c>
      <c r="H452" s="1"/>
      <c r="I452" s="1"/>
    </row>
    <row r="453" spans="3:9" x14ac:dyDescent="0.25">
      <c r="C453" s="1">
        <v>7004995</v>
      </c>
      <c r="D453" s="1">
        <v>1531</v>
      </c>
      <c r="E453" s="1" t="s">
        <v>455</v>
      </c>
      <c r="F453" s="1">
        <v>0</v>
      </c>
      <c r="G453" s="1" t="s">
        <v>13</v>
      </c>
      <c r="H453" s="1"/>
      <c r="I453" s="1"/>
    </row>
    <row r="454" spans="3:9" x14ac:dyDescent="0.25">
      <c r="C454" s="1">
        <v>7004996</v>
      </c>
      <c r="D454" s="1">
        <v>1531</v>
      </c>
      <c r="E454" s="1" t="s">
        <v>456</v>
      </c>
      <c r="F454" s="1">
        <v>0</v>
      </c>
      <c r="G454" s="1" t="s">
        <v>96</v>
      </c>
      <c r="H454" s="1"/>
      <c r="I454" s="1"/>
    </row>
    <row r="455" spans="3:9" x14ac:dyDescent="0.25">
      <c r="C455" s="1">
        <v>7004997</v>
      </c>
      <c r="D455" s="1">
        <v>1531</v>
      </c>
      <c r="E455" s="1" t="s">
        <v>457</v>
      </c>
      <c r="F455" s="1">
        <v>0</v>
      </c>
      <c r="G455" s="1" t="s">
        <v>13</v>
      </c>
      <c r="H455" s="1"/>
      <c r="I455" s="1"/>
    </row>
    <row r="456" spans="3:9" x14ac:dyDescent="0.25">
      <c r="C456" s="1">
        <v>7004998</v>
      </c>
      <c r="D456" s="1">
        <v>1531</v>
      </c>
      <c r="E456" s="1" t="s">
        <v>458</v>
      </c>
      <c r="F456" s="1">
        <v>0</v>
      </c>
      <c r="G456" s="1" t="s">
        <v>13</v>
      </c>
      <c r="H456" s="1"/>
      <c r="I456" s="1"/>
    </row>
    <row r="457" spans="3:9" x14ac:dyDescent="0.25">
      <c r="C457" s="1">
        <v>7005296</v>
      </c>
      <c r="D457" s="1">
        <v>1531</v>
      </c>
      <c r="E457" s="1" t="s">
        <v>459</v>
      </c>
      <c r="F457" s="1">
        <v>0</v>
      </c>
      <c r="G457" s="1" t="s">
        <v>13</v>
      </c>
      <c r="H457" s="1"/>
      <c r="I457" s="1"/>
    </row>
    <row r="458" spans="3:9" x14ac:dyDescent="0.25">
      <c r="C458" s="1">
        <v>7005333</v>
      </c>
      <c r="D458" s="1">
        <v>1531</v>
      </c>
      <c r="E458" s="1" t="s">
        <v>460</v>
      </c>
      <c r="F458" s="1">
        <v>0</v>
      </c>
      <c r="G458" s="1" t="s">
        <v>13</v>
      </c>
      <c r="H458" s="1"/>
      <c r="I458" s="1"/>
    </row>
    <row r="459" spans="3:9" x14ac:dyDescent="0.25">
      <c r="C459" s="1">
        <v>7005334</v>
      </c>
      <c r="D459" s="1">
        <v>1531</v>
      </c>
      <c r="E459" s="1" t="s">
        <v>461</v>
      </c>
      <c r="F459" s="1">
        <v>0</v>
      </c>
      <c r="G459" s="1" t="s">
        <v>13</v>
      </c>
      <c r="H459" s="1"/>
      <c r="I459" s="1"/>
    </row>
    <row r="460" spans="3:9" x14ac:dyDescent="0.25">
      <c r="C460" s="1">
        <v>7005335</v>
      </c>
      <c r="D460" s="1">
        <v>1531</v>
      </c>
      <c r="E460" s="1" t="s">
        <v>462</v>
      </c>
      <c r="F460" s="1">
        <v>0</v>
      </c>
      <c r="G460" s="1" t="s">
        <v>13</v>
      </c>
      <c r="H460" s="1"/>
      <c r="I460" s="1"/>
    </row>
    <row r="461" spans="3:9" x14ac:dyDescent="0.25">
      <c r="C461" s="1">
        <v>7005351</v>
      </c>
      <c r="D461" s="1">
        <v>1531</v>
      </c>
      <c r="E461" s="1" t="s">
        <v>463</v>
      </c>
      <c r="F461" s="1">
        <v>0</v>
      </c>
      <c r="G461" s="1" t="s">
        <v>96</v>
      </c>
      <c r="H461" s="1"/>
      <c r="I461" s="1"/>
    </row>
    <row r="462" spans="3:9" x14ac:dyDescent="0.25">
      <c r="C462" s="1">
        <v>7005366</v>
      </c>
      <c r="D462" s="1">
        <v>1531</v>
      </c>
      <c r="E462" s="1" t="s">
        <v>464</v>
      </c>
      <c r="F462" s="1">
        <v>0</v>
      </c>
      <c r="G462" s="1" t="s">
        <v>96</v>
      </c>
      <c r="H462" s="1"/>
      <c r="I462" s="1"/>
    </row>
    <row r="463" spans="3:9" x14ac:dyDescent="0.25">
      <c r="C463" s="1">
        <v>7005370</v>
      </c>
      <c r="D463" s="1">
        <v>1531</v>
      </c>
      <c r="E463" s="1" t="s">
        <v>465</v>
      </c>
      <c r="F463" s="1">
        <v>1860</v>
      </c>
      <c r="G463" s="1" t="s">
        <v>96</v>
      </c>
      <c r="H463" s="1"/>
      <c r="I463" s="1"/>
    </row>
    <row r="464" spans="3:9" x14ac:dyDescent="0.25">
      <c r="C464" s="1">
        <v>7005379</v>
      </c>
      <c r="D464" s="1">
        <v>1531</v>
      </c>
      <c r="E464" s="1" t="s">
        <v>466</v>
      </c>
      <c r="F464" s="1">
        <v>0</v>
      </c>
      <c r="G464" s="1" t="s">
        <v>96</v>
      </c>
      <c r="H464" s="1"/>
      <c r="I464" s="1"/>
    </row>
    <row r="465" spans="3:9" x14ac:dyDescent="0.25">
      <c r="C465" s="1">
        <v>7005380</v>
      </c>
      <c r="D465" s="1">
        <v>1531</v>
      </c>
      <c r="E465" s="1" t="s">
        <v>467</v>
      </c>
      <c r="F465" s="1">
        <v>0</v>
      </c>
      <c r="G465" s="1" t="s">
        <v>96</v>
      </c>
      <c r="H465" s="1"/>
      <c r="I465" s="1"/>
    </row>
    <row r="466" spans="3:9" x14ac:dyDescent="0.25">
      <c r="C466" s="1">
        <v>7005393</v>
      </c>
      <c r="D466" s="1">
        <v>1531</v>
      </c>
      <c r="E466" s="1" t="s">
        <v>468</v>
      </c>
      <c r="F466" s="1">
        <v>0</v>
      </c>
      <c r="G466" s="1" t="s">
        <v>13</v>
      </c>
      <c r="H466" s="1"/>
      <c r="I466" s="1"/>
    </row>
    <row r="467" spans="3:9" x14ac:dyDescent="0.25">
      <c r="C467" s="1">
        <v>7005404</v>
      </c>
      <c r="D467" s="1">
        <v>1531</v>
      </c>
      <c r="E467" s="1" t="s">
        <v>469</v>
      </c>
      <c r="F467" s="1">
        <v>0</v>
      </c>
      <c r="G467" s="1" t="s">
        <v>13</v>
      </c>
      <c r="H467" s="1"/>
      <c r="I467" s="1"/>
    </row>
    <row r="468" spans="3:9" x14ac:dyDescent="0.25">
      <c r="C468" s="1">
        <v>7005409</v>
      </c>
      <c r="D468" s="1">
        <v>1531</v>
      </c>
      <c r="E468" s="1" t="s">
        <v>470</v>
      </c>
      <c r="F468" s="1">
        <v>0</v>
      </c>
      <c r="G468" s="1" t="s">
        <v>13</v>
      </c>
      <c r="H468" s="1"/>
      <c r="I468" s="1"/>
    </row>
    <row r="469" spans="3:9" x14ac:dyDescent="0.25">
      <c r="C469" s="1">
        <v>7005568</v>
      </c>
      <c r="D469" s="1">
        <v>1531</v>
      </c>
      <c r="E469" s="1" t="s">
        <v>471</v>
      </c>
      <c r="F469" s="1">
        <v>0</v>
      </c>
      <c r="G469" s="1" t="s">
        <v>96</v>
      </c>
      <c r="H469" s="1"/>
      <c r="I469" s="1"/>
    </row>
    <row r="470" spans="3:9" x14ac:dyDescent="0.25">
      <c r="C470" s="1">
        <v>7005643</v>
      </c>
      <c r="D470" s="1">
        <v>1531</v>
      </c>
      <c r="E470" s="1" t="s">
        <v>472</v>
      </c>
      <c r="F470" s="1">
        <v>0</v>
      </c>
      <c r="G470" s="1" t="s">
        <v>13</v>
      </c>
      <c r="H470" s="1"/>
      <c r="I470" s="1"/>
    </row>
    <row r="471" spans="3:9" x14ac:dyDescent="0.25">
      <c r="C471" s="1">
        <v>7005718</v>
      </c>
      <c r="D471" s="1">
        <v>1531</v>
      </c>
      <c r="E471" s="1" t="s">
        <v>473</v>
      </c>
      <c r="F471" s="1">
        <v>0</v>
      </c>
      <c r="G471" s="1" t="s">
        <v>13</v>
      </c>
      <c r="H471" s="1"/>
      <c r="I471" s="1"/>
    </row>
    <row r="472" spans="3:9" x14ac:dyDescent="0.25">
      <c r="C472" s="1">
        <v>7005721</v>
      </c>
      <c r="D472" s="1">
        <v>1531</v>
      </c>
      <c r="E472" s="1" t="s">
        <v>474</v>
      </c>
      <c r="F472" s="1">
        <v>0</v>
      </c>
      <c r="G472" s="1" t="s">
        <v>13</v>
      </c>
      <c r="H472" s="1"/>
      <c r="I472" s="1"/>
    </row>
    <row r="473" spans="3:9" x14ac:dyDescent="0.25">
      <c r="C473" s="1">
        <v>7005761</v>
      </c>
      <c r="D473" s="1">
        <v>1531</v>
      </c>
      <c r="E473" s="1" t="s">
        <v>475</v>
      </c>
      <c r="F473" s="1">
        <v>0</v>
      </c>
      <c r="G473" s="1" t="s">
        <v>13</v>
      </c>
      <c r="H473" s="1"/>
      <c r="I473" s="1"/>
    </row>
    <row r="474" spans="3:9" x14ac:dyDescent="0.25">
      <c r="C474" s="1">
        <v>7005820</v>
      </c>
      <c r="D474" s="1">
        <v>1531</v>
      </c>
      <c r="E474" s="1" t="s">
        <v>476</v>
      </c>
      <c r="F474" s="1">
        <v>1620</v>
      </c>
      <c r="G474" s="1" t="s">
        <v>96</v>
      </c>
      <c r="H474" s="1"/>
      <c r="I474" s="1"/>
    </row>
    <row r="475" spans="3:9" x14ac:dyDescent="0.25">
      <c r="C475" s="1">
        <v>7005821</v>
      </c>
      <c r="D475" s="1">
        <v>1531</v>
      </c>
      <c r="E475" s="1" t="s">
        <v>477</v>
      </c>
      <c r="F475" s="1">
        <v>2628</v>
      </c>
      <c r="G475" s="1" t="s">
        <v>96</v>
      </c>
      <c r="H475" s="1"/>
      <c r="I475" s="1"/>
    </row>
    <row r="476" spans="3:9" x14ac:dyDescent="0.25">
      <c r="C476" s="1">
        <v>7005822</v>
      </c>
      <c r="D476" s="1">
        <v>1531</v>
      </c>
      <c r="E476" s="1" t="s">
        <v>478</v>
      </c>
      <c r="F476" s="1">
        <v>4064</v>
      </c>
      <c r="G476" s="1" t="s">
        <v>96</v>
      </c>
      <c r="H476" s="1"/>
      <c r="I476" s="1"/>
    </row>
    <row r="477" spans="3:9" x14ac:dyDescent="0.25">
      <c r="C477" s="1">
        <v>7005823</v>
      </c>
      <c r="D477" s="1">
        <v>1531</v>
      </c>
      <c r="E477" s="1" t="s">
        <v>479</v>
      </c>
      <c r="F477" s="1">
        <v>2160</v>
      </c>
      <c r="G477" s="1" t="s">
        <v>96</v>
      </c>
      <c r="H477" s="1"/>
      <c r="I477" s="1"/>
    </row>
    <row r="478" spans="3:9" x14ac:dyDescent="0.25">
      <c r="C478" s="1">
        <v>7005824</v>
      </c>
      <c r="D478" s="1">
        <v>1531</v>
      </c>
      <c r="E478" s="1" t="s">
        <v>480</v>
      </c>
      <c r="F478" s="1">
        <v>1790</v>
      </c>
      <c r="G478" s="1" t="s">
        <v>96</v>
      </c>
      <c r="H478" s="1"/>
      <c r="I478" s="1"/>
    </row>
    <row r="479" spans="3:9" x14ac:dyDescent="0.25">
      <c r="C479" s="1">
        <v>7005825</v>
      </c>
      <c r="D479" s="1">
        <v>1531</v>
      </c>
      <c r="E479" s="1" t="s">
        <v>481</v>
      </c>
      <c r="F479" s="1">
        <v>0</v>
      </c>
      <c r="G479" s="1" t="s">
        <v>96</v>
      </c>
      <c r="H479" s="1"/>
      <c r="I479" s="1"/>
    </row>
    <row r="480" spans="3:9" x14ac:dyDescent="0.25">
      <c r="C480" s="1">
        <v>7005826</v>
      </c>
      <c r="D480" s="1">
        <v>1531</v>
      </c>
      <c r="E480" s="1" t="s">
        <v>464</v>
      </c>
      <c r="F480" s="1">
        <v>11934</v>
      </c>
      <c r="G480" s="1" t="s">
        <v>96</v>
      </c>
      <c r="H480" s="1"/>
      <c r="I480" s="1"/>
    </row>
    <row r="481" spans="3:9" x14ac:dyDescent="0.25">
      <c r="C481" s="1">
        <v>7005827</v>
      </c>
      <c r="D481" s="1">
        <v>1531</v>
      </c>
      <c r="E481" s="1" t="s">
        <v>466</v>
      </c>
      <c r="F481" s="1">
        <v>19170</v>
      </c>
      <c r="G481" s="1" t="s">
        <v>96</v>
      </c>
      <c r="H481" s="1"/>
      <c r="I481" s="1"/>
    </row>
    <row r="482" spans="3:9" x14ac:dyDescent="0.25">
      <c r="C482" s="1">
        <v>7005828</v>
      </c>
      <c r="D482" s="1">
        <v>1531</v>
      </c>
      <c r="E482" s="1" t="s">
        <v>482</v>
      </c>
      <c r="F482" s="1">
        <v>434</v>
      </c>
      <c r="G482" s="1" t="s">
        <v>96</v>
      </c>
      <c r="H482" s="1"/>
      <c r="I482" s="1"/>
    </row>
    <row r="483" spans="3:9" x14ac:dyDescent="0.25">
      <c r="C483" s="1">
        <v>7005843</v>
      </c>
      <c r="D483" s="1">
        <v>1531</v>
      </c>
      <c r="E483" s="1" t="s">
        <v>483</v>
      </c>
      <c r="F483" s="1">
        <v>0</v>
      </c>
      <c r="G483" s="1" t="s">
        <v>13</v>
      </c>
      <c r="H483" s="1"/>
      <c r="I483" s="1"/>
    </row>
    <row r="484" spans="3:9" x14ac:dyDescent="0.25">
      <c r="C484" s="1">
        <v>7005844</v>
      </c>
      <c r="D484" s="1">
        <v>1531</v>
      </c>
      <c r="E484" s="1" t="s">
        <v>484</v>
      </c>
      <c r="F484" s="1">
        <v>0</v>
      </c>
      <c r="G484" s="1" t="s">
        <v>96</v>
      </c>
      <c r="H484" s="1"/>
      <c r="I484" s="1"/>
    </row>
    <row r="485" spans="3:9" x14ac:dyDescent="0.25">
      <c r="C485" s="1">
        <v>7005850</v>
      </c>
      <c r="D485" s="1">
        <v>1531</v>
      </c>
      <c r="E485" s="1" t="s">
        <v>485</v>
      </c>
      <c r="F485" s="1">
        <v>0</v>
      </c>
      <c r="G485" s="1" t="s">
        <v>96</v>
      </c>
      <c r="H485" s="1"/>
      <c r="I485" s="1"/>
    </row>
    <row r="486" spans="3:9" x14ac:dyDescent="0.25">
      <c r="C486" s="1">
        <v>7005851</v>
      </c>
      <c r="D486" s="1">
        <v>1531</v>
      </c>
      <c r="E486" s="1" t="s">
        <v>486</v>
      </c>
      <c r="F486" s="1">
        <v>0</v>
      </c>
      <c r="G486" s="1" t="s">
        <v>96</v>
      </c>
      <c r="H486" s="1"/>
      <c r="I486" s="1"/>
    </row>
    <row r="487" spans="3:9" x14ac:dyDescent="0.25">
      <c r="C487" s="1">
        <v>7005866</v>
      </c>
      <c r="D487" s="1">
        <v>1531</v>
      </c>
      <c r="E487" s="1" t="s">
        <v>487</v>
      </c>
      <c r="F487" s="1">
        <v>0</v>
      </c>
      <c r="G487" s="1" t="s">
        <v>13</v>
      </c>
      <c r="H487" s="1"/>
      <c r="I487" s="1"/>
    </row>
    <row r="488" spans="3:9" x14ac:dyDescent="0.25">
      <c r="C488" s="1">
        <v>7005880</v>
      </c>
      <c r="D488" s="1">
        <v>1531</v>
      </c>
      <c r="E488" s="1" t="s">
        <v>488</v>
      </c>
      <c r="F488" s="1">
        <v>0</v>
      </c>
      <c r="G488" s="1" t="s">
        <v>13</v>
      </c>
      <c r="H488" s="1"/>
      <c r="I488" s="1"/>
    </row>
    <row r="489" spans="3:9" x14ac:dyDescent="0.25">
      <c r="C489" s="1">
        <v>7005881</v>
      </c>
      <c r="D489" s="1">
        <v>1531</v>
      </c>
      <c r="E489" s="1" t="s">
        <v>489</v>
      </c>
      <c r="F489" s="1">
        <v>0</v>
      </c>
      <c r="G489" s="1" t="s">
        <v>13</v>
      </c>
      <c r="H489" s="1"/>
      <c r="I489" s="1"/>
    </row>
    <row r="490" spans="3:9" x14ac:dyDescent="0.25">
      <c r="C490" s="1">
        <v>7005888</v>
      </c>
      <c r="D490" s="1">
        <v>1531</v>
      </c>
      <c r="E490" s="1" t="s">
        <v>490</v>
      </c>
      <c r="F490" s="1">
        <v>0</v>
      </c>
      <c r="G490" s="1" t="s">
        <v>96</v>
      </c>
      <c r="H490" s="1"/>
      <c r="I490" s="1"/>
    </row>
    <row r="491" spans="3:9" x14ac:dyDescent="0.25">
      <c r="C491" s="1">
        <v>7005922</v>
      </c>
      <c r="D491" s="1">
        <v>1531</v>
      </c>
      <c r="E491" s="1" t="s">
        <v>491</v>
      </c>
      <c r="F491" s="1">
        <v>0</v>
      </c>
      <c r="G491" s="1" t="s">
        <v>96</v>
      </c>
      <c r="H491" s="1"/>
      <c r="I491" s="1"/>
    </row>
    <row r="492" spans="3:9" x14ac:dyDescent="0.25">
      <c r="C492" s="1">
        <v>7005923</v>
      </c>
      <c r="D492" s="1">
        <v>1531</v>
      </c>
      <c r="E492" s="1" t="s">
        <v>492</v>
      </c>
      <c r="F492" s="1">
        <v>2542</v>
      </c>
      <c r="G492" s="1" t="s">
        <v>96</v>
      </c>
      <c r="H492" s="1"/>
      <c r="I492" s="1"/>
    </row>
    <row r="493" spans="3:9" x14ac:dyDescent="0.25">
      <c r="C493" s="1">
        <v>7005966</v>
      </c>
      <c r="D493" s="1">
        <v>1531</v>
      </c>
      <c r="E493" s="1" t="s">
        <v>493</v>
      </c>
      <c r="F493" s="1">
        <v>0</v>
      </c>
      <c r="G493" s="1" t="s">
        <v>96</v>
      </c>
      <c r="H493" s="1"/>
      <c r="I493" s="1"/>
    </row>
    <row r="494" spans="3:9" x14ac:dyDescent="0.25">
      <c r="C494" s="1">
        <v>7005967</v>
      </c>
      <c r="D494" s="1">
        <v>1531</v>
      </c>
      <c r="E494" s="1" t="s">
        <v>494</v>
      </c>
      <c r="F494" s="1">
        <v>330</v>
      </c>
      <c r="G494" s="1" t="s">
        <v>96</v>
      </c>
      <c r="H494" s="1"/>
      <c r="I494" s="1"/>
    </row>
    <row r="495" spans="3:9" x14ac:dyDescent="0.25">
      <c r="C495" s="1">
        <v>7006006</v>
      </c>
      <c r="D495" s="1">
        <v>1531</v>
      </c>
      <c r="E495" s="1" t="s">
        <v>495</v>
      </c>
      <c r="F495" s="1">
        <v>0</v>
      </c>
      <c r="G495" s="1" t="s">
        <v>13</v>
      </c>
      <c r="H495" s="1"/>
      <c r="I495" s="1"/>
    </row>
    <row r="496" spans="3:9" x14ac:dyDescent="0.25">
      <c r="C496" s="1">
        <v>7006008</v>
      </c>
      <c r="D496" s="1">
        <v>1531</v>
      </c>
      <c r="E496" s="1" t="s">
        <v>496</v>
      </c>
      <c r="F496" s="1">
        <v>0</v>
      </c>
      <c r="G496" s="1" t="s">
        <v>13</v>
      </c>
      <c r="H496" s="1"/>
      <c r="I496" s="1"/>
    </row>
    <row r="497" spans="3:9" x14ac:dyDescent="0.25">
      <c r="C497" s="1">
        <v>7006026</v>
      </c>
      <c r="D497" s="1">
        <v>1531</v>
      </c>
      <c r="E497" s="1" t="s">
        <v>497</v>
      </c>
      <c r="F497" s="1">
        <v>0</v>
      </c>
      <c r="G497" s="1" t="s">
        <v>96</v>
      </c>
      <c r="H497" s="1"/>
      <c r="I497" s="1"/>
    </row>
    <row r="498" spans="3:9" x14ac:dyDescent="0.25">
      <c r="C498" s="1">
        <v>7006049</v>
      </c>
      <c r="D498" s="1">
        <v>1531</v>
      </c>
      <c r="E498" s="1" t="s">
        <v>498</v>
      </c>
      <c r="F498" s="1">
        <v>0</v>
      </c>
      <c r="G498" s="1" t="s">
        <v>13</v>
      </c>
      <c r="H498" s="1"/>
      <c r="I498" s="1"/>
    </row>
    <row r="499" spans="3:9" x14ac:dyDescent="0.25">
      <c r="C499" s="1">
        <v>7006129</v>
      </c>
      <c r="D499" s="1">
        <v>1531</v>
      </c>
      <c r="E499" s="1" t="s">
        <v>499</v>
      </c>
      <c r="F499" s="1">
        <v>771</v>
      </c>
      <c r="G499" s="1" t="s">
        <v>96</v>
      </c>
      <c r="H499" s="1"/>
      <c r="I499" s="1"/>
    </row>
    <row r="500" spans="3:9" x14ac:dyDescent="0.25">
      <c r="C500" s="1">
        <v>7006259</v>
      </c>
      <c r="D500" s="1">
        <v>1531</v>
      </c>
      <c r="E500" s="1" t="s">
        <v>500</v>
      </c>
      <c r="F500" s="1">
        <v>0</v>
      </c>
      <c r="G500" s="1" t="s">
        <v>13</v>
      </c>
      <c r="H500" s="1"/>
      <c r="I500" s="1"/>
    </row>
    <row r="501" spans="3:9" x14ac:dyDescent="0.25">
      <c r="C501" s="1">
        <v>7006262</v>
      </c>
      <c r="D501" s="1">
        <v>1531</v>
      </c>
      <c r="E501" s="1" t="s">
        <v>501</v>
      </c>
      <c r="F501" s="1">
        <v>0</v>
      </c>
      <c r="G501" s="1" t="s">
        <v>13</v>
      </c>
      <c r="H501" s="1"/>
      <c r="I501" s="1"/>
    </row>
    <row r="502" spans="3:9" x14ac:dyDescent="0.25">
      <c r="C502" s="1">
        <v>7006290</v>
      </c>
      <c r="D502" s="1">
        <v>1531</v>
      </c>
      <c r="E502" s="1" t="s">
        <v>502</v>
      </c>
      <c r="F502" s="1">
        <v>0</v>
      </c>
      <c r="G502" s="1" t="s">
        <v>13</v>
      </c>
      <c r="H502" s="1"/>
      <c r="I502" s="1"/>
    </row>
    <row r="503" spans="3:9" x14ac:dyDescent="0.25">
      <c r="C503" s="1">
        <v>7006471</v>
      </c>
      <c r="D503" s="1">
        <v>1531</v>
      </c>
      <c r="E503" s="1" t="s">
        <v>503</v>
      </c>
      <c r="F503" s="1">
        <v>0</v>
      </c>
      <c r="G503" s="1" t="s">
        <v>13</v>
      </c>
      <c r="H503" s="1"/>
      <c r="I503" s="1"/>
    </row>
    <row r="504" spans="3:9" x14ac:dyDescent="0.25">
      <c r="C504" s="1">
        <v>7006531</v>
      </c>
      <c r="D504" s="1">
        <v>1531</v>
      </c>
      <c r="E504" s="1" t="s">
        <v>504</v>
      </c>
      <c r="F504" s="1">
        <v>0</v>
      </c>
      <c r="G504" s="1" t="s">
        <v>13</v>
      </c>
      <c r="H504" s="1"/>
      <c r="I504" s="1"/>
    </row>
    <row r="505" spans="3:9" x14ac:dyDescent="0.25">
      <c r="C505" s="1">
        <v>7006538</v>
      </c>
      <c r="D505" s="1">
        <v>1531</v>
      </c>
      <c r="E505" s="1" t="s">
        <v>505</v>
      </c>
      <c r="F505" s="1">
        <v>0</v>
      </c>
      <c r="G505" s="1" t="s">
        <v>13</v>
      </c>
      <c r="H505" s="1"/>
      <c r="I505" s="1"/>
    </row>
    <row r="506" spans="3:9" x14ac:dyDescent="0.25">
      <c r="C506" s="1">
        <v>7006555</v>
      </c>
      <c r="D506" s="1">
        <v>1531</v>
      </c>
      <c r="E506" s="1" t="s">
        <v>506</v>
      </c>
      <c r="F506" s="1">
        <v>0</v>
      </c>
      <c r="G506" s="1" t="s">
        <v>13</v>
      </c>
      <c r="H506" s="1"/>
      <c r="I506" s="1"/>
    </row>
    <row r="507" spans="3:9" x14ac:dyDescent="0.25">
      <c r="C507" s="1">
        <v>7006556</v>
      </c>
      <c r="D507" s="1">
        <v>1531</v>
      </c>
      <c r="E507" s="1" t="s">
        <v>507</v>
      </c>
      <c r="F507" s="1">
        <v>0</v>
      </c>
      <c r="G507" s="1" t="s">
        <v>13</v>
      </c>
      <c r="H507" s="1"/>
      <c r="I507" s="1"/>
    </row>
    <row r="508" spans="3:9" x14ac:dyDescent="0.25">
      <c r="C508" s="1">
        <v>7006557</v>
      </c>
      <c r="D508" s="1">
        <v>1531</v>
      </c>
      <c r="E508" s="1" t="s">
        <v>508</v>
      </c>
      <c r="F508" s="1">
        <v>0</v>
      </c>
      <c r="G508" s="1" t="s">
        <v>13</v>
      </c>
      <c r="H508" s="1"/>
      <c r="I508" s="1"/>
    </row>
    <row r="509" spans="3:9" x14ac:dyDescent="0.25">
      <c r="C509" s="1">
        <v>7006558</v>
      </c>
      <c r="D509" s="1">
        <v>1531</v>
      </c>
      <c r="E509" s="1" t="s">
        <v>509</v>
      </c>
      <c r="F509" s="1">
        <v>0</v>
      </c>
      <c r="G509" s="1" t="s">
        <v>13</v>
      </c>
      <c r="H509" s="1"/>
      <c r="I509" s="1"/>
    </row>
    <row r="510" spans="3:9" x14ac:dyDescent="0.25">
      <c r="C510" s="1">
        <v>7006559</v>
      </c>
      <c r="D510" s="1">
        <v>1531</v>
      </c>
      <c r="E510" s="1" t="s">
        <v>510</v>
      </c>
      <c r="F510" s="1">
        <v>0</v>
      </c>
      <c r="G510" s="1" t="s">
        <v>13</v>
      </c>
      <c r="H510" s="1"/>
      <c r="I510" s="1"/>
    </row>
    <row r="511" spans="3:9" x14ac:dyDescent="0.25">
      <c r="C511" s="1">
        <v>7006561</v>
      </c>
      <c r="D511" s="1">
        <v>1531</v>
      </c>
      <c r="E511" s="1" t="s">
        <v>511</v>
      </c>
      <c r="F511" s="1">
        <v>0</v>
      </c>
      <c r="G511" s="1" t="s">
        <v>13</v>
      </c>
      <c r="H511" s="1"/>
      <c r="I511" s="1"/>
    </row>
    <row r="512" spans="3:9" x14ac:dyDescent="0.25">
      <c r="C512" s="1">
        <v>7006562</v>
      </c>
      <c r="D512" s="1">
        <v>1531</v>
      </c>
      <c r="E512" s="1" t="s">
        <v>512</v>
      </c>
      <c r="F512" s="1">
        <v>0</v>
      </c>
      <c r="G512" s="1" t="s">
        <v>13</v>
      </c>
      <c r="H512" s="1"/>
      <c r="I512" s="1"/>
    </row>
    <row r="513" spans="3:9" x14ac:dyDescent="0.25">
      <c r="C513" s="1">
        <v>7006563</v>
      </c>
      <c r="D513" s="1">
        <v>1531</v>
      </c>
      <c r="E513" s="1" t="s">
        <v>513</v>
      </c>
      <c r="F513" s="1">
        <v>0</v>
      </c>
      <c r="G513" s="1" t="s">
        <v>13</v>
      </c>
      <c r="H513" s="1"/>
      <c r="I513" s="1"/>
    </row>
    <row r="514" spans="3:9" x14ac:dyDescent="0.25">
      <c r="C514" s="1">
        <v>7006564</v>
      </c>
      <c r="D514" s="1">
        <v>1531</v>
      </c>
      <c r="E514" s="1" t="s">
        <v>514</v>
      </c>
      <c r="F514" s="1">
        <v>0</v>
      </c>
      <c r="G514" s="1" t="s">
        <v>13</v>
      </c>
      <c r="H514" s="1"/>
      <c r="I514" s="1"/>
    </row>
    <row r="515" spans="3:9" x14ac:dyDescent="0.25">
      <c r="C515" s="1">
        <v>7006565</v>
      </c>
      <c r="D515" s="1">
        <v>1531</v>
      </c>
      <c r="E515" s="1" t="s">
        <v>515</v>
      </c>
      <c r="F515" s="1">
        <v>0</v>
      </c>
      <c r="G515" s="1" t="s">
        <v>13</v>
      </c>
      <c r="H515" s="1"/>
      <c r="I515" s="1"/>
    </row>
    <row r="516" spans="3:9" x14ac:dyDescent="0.25">
      <c r="C516" s="1">
        <v>7006664</v>
      </c>
      <c r="D516" s="1">
        <v>1531</v>
      </c>
      <c r="E516" s="1" t="s">
        <v>516</v>
      </c>
      <c r="F516" s="1">
        <v>0</v>
      </c>
      <c r="G516" s="1" t="s">
        <v>13</v>
      </c>
      <c r="H516" s="1"/>
      <c r="I516" s="1"/>
    </row>
    <row r="517" spans="3:9" x14ac:dyDescent="0.25">
      <c r="C517" s="1">
        <v>7006892</v>
      </c>
      <c r="D517" s="1">
        <v>1531</v>
      </c>
      <c r="E517" s="1" t="s">
        <v>517</v>
      </c>
      <c r="F517" s="1">
        <v>0</v>
      </c>
      <c r="G517" s="1" t="s">
        <v>13</v>
      </c>
      <c r="H517" s="1"/>
      <c r="I517" s="1"/>
    </row>
    <row r="518" spans="3:9" x14ac:dyDescent="0.25">
      <c r="C518" s="1">
        <v>7007114</v>
      </c>
      <c r="D518" s="1">
        <v>1531</v>
      </c>
      <c r="E518" s="1" t="s">
        <v>518</v>
      </c>
      <c r="F518" s="1">
        <v>440</v>
      </c>
      <c r="G518" s="1" t="s">
        <v>96</v>
      </c>
      <c r="H518" s="1"/>
      <c r="I518" s="1"/>
    </row>
    <row r="519" spans="3:9" x14ac:dyDescent="0.25">
      <c r="C519" s="1">
        <v>7007115</v>
      </c>
      <c r="D519" s="1">
        <v>1531</v>
      </c>
      <c r="E519" s="1" t="s">
        <v>519</v>
      </c>
      <c r="F519" s="1">
        <v>11584</v>
      </c>
      <c r="G519" s="1" t="s">
        <v>96</v>
      </c>
      <c r="H519" s="1"/>
      <c r="I519" s="1"/>
    </row>
    <row r="520" spans="3:9" x14ac:dyDescent="0.25">
      <c r="C520" s="1">
        <v>7007116</v>
      </c>
      <c r="D520" s="1">
        <v>1531</v>
      </c>
      <c r="E520" s="1" t="s">
        <v>520</v>
      </c>
      <c r="F520" s="1">
        <v>4650</v>
      </c>
      <c r="G520" s="1" t="s">
        <v>96</v>
      </c>
      <c r="H520" s="1"/>
      <c r="I520" s="1"/>
    </row>
    <row r="521" spans="3:9" x14ac:dyDescent="0.25">
      <c r="C521" s="1">
        <v>7007117</v>
      </c>
      <c r="D521" s="1">
        <v>1531</v>
      </c>
      <c r="E521" s="1" t="s">
        <v>521</v>
      </c>
      <c r="F521" s="1">
        <v>7320</v>
      </c>
      <c r="G521" s="1" t="s">
        <v>96</v>
      </c>
      <c r="H521" s="1"/>
      <c r="I521" s="1"/>
    </row>
    <row r="522" spans="3:9" x14ac:dyDescent="0.25">
      <c r="C522" s="1">
        <v>7007118</v>
      </c>
      <c r="D522" s="1">
        <v>1531</v>
      </c>
      <c r="E522" s="1" t="s">
        <v>522</v>
      </c>
      <c r="F522" s="1">
        <v>10868</v>
      </c>
      <c r="G522" s="1" t="s">
        <v>96</v>
      </c>
      <c r="H522" s="1"/>
      <c r="I522" s="1"/>
    </row>
    <row r="523" spans="3:9" x14ac:dyDescent="0.25">
      <c r="C523" s="1">
        <v>7007132</v>
      </c>
      <c r="D523" s="1">
        <v>1531</v>
      </c>
      <c r="E523" s="1" t="s">
        <v>523</v>
      </c>
      <c r="F523" s="1">
        <v>1590</v>
      </c>
      <c r="G523" s="1" t="s">
        <v>96</v>
      </c>
      <c r="H523" s="1"/>
      <c r="I523" s="1"/>
    </row>
    <row r="524" spans="3:9" x14ac:dyDescent="0.25">
      <c r="C524" s="1">
        <v>7007133</v>
      </c>
      <c r="D524" s="1">
        <v>1531</v>
      </c>
      <c r="E524" s="1" t="s">
        <v>524</v>
      </c>
      <c r="F524" s="1">
        <v>120</v>
      </c>
      <c r="G524" s="1" t="s">
        <v>96</v>
      </c>
      <c r="H524" s="1"/>
      <c r="I524" s="1"/>
    </row>
    <row r="525" spans="3:9" x14ac:dyDescent="0.25">
      <c r="C525" s="1">
        <v>7007135</v>
      </c>
      <c r="D525" s="1">
        <v>1531</v>
      </c>
      <c r="E525" s="1" t="s">
        <v>525</v>
      </c>
      <c r="F525" s="1">
        <v>9315.5</v>
      </c>
      <c r="G525" s="1" t="s">
        <v>96</v>
      </c>
      <c r="H525" s="1"/>
      <c r="I525" s="1"/>
    </row>
    <row r="526" spans="3:9" x14ac:dyDescent="0.25">
      <c r="C526" s="1">
        <v>7007293</v>
      </c>
      <c r="D526" s="1">
        <v>1531</v>
      </c>
      <c r="E526" s="1" t="s">
        <v>526</v>
      </c>
      <c r="F526" s="1">
        <v>0</v>
      </c>
      <c r="G526" s="1" t="s">
        <v>13</v>
      </c>
      <c r="H526" s="1"/>
      <c r="I526" s="1"/>
    </row>
    <row r="527" spans="3:9" x14ac:dyDescent="0.25">
      <c r="C527" s="1">
        <v>7007405</v>
      </c>
      <c r="D527" s="1">
        <v>1531</v>
      </c>
      <c r="E527" s="1" t="s">
        <v>527</v>
      </c>
      <c r="F527" s="1">
        <v>0</v>
      </c>
      <c r="G527" s="1" t="s">
        <v>96</v>
      </c>
      <c r="H527" s="1"/>
      <c r="I527" s="1"/>
    </row>
    <row r="528" spans="3:9" x14ac:dyDescent="0.25">
      <c r="C528" s="1">
        <v>7007438</v>
      </c>
      <c r="D528" s="1">
        <v>1531</v>
      </c>
      <c r="E528" s="1" t="s">
        <v>528</v>
      </c>
      <c r="F528" s="1">
        <v>0</v>
      </c>
      <c r="G528" s="1" t="s">
        <v>13</v>
      </c>
      <c r="H528" s="1"/>
      <c r="I528" s="1"/>
    </row>
    <row r="529" spans="3:9" x14ac:dyDescent="0.25">
      <c r="C529" s="1">
        <v>7007460</v>
      </c>
      <c r="D529" s="1">
        <v>1531</v>
      </c>
      <c r="E529" s="1" t="s">
        <v>529</v>
      </c>
      <c r="F529" s="1">
        <v>0</v>
      </c>
      <c r="G529" s="1" t="s">
        <v>13</v>
      </c>
      <c r="H529" s="1"/>
      <c r="I529" s="1"/>
    </row>
    <row r="530" spans="3:9" x14ac:dyDescent="0.25">
      <c r="C530" s="1">
        <v>7007487</v>
      </c>
      <c r="D530" s="1">
        <v>1531</v>
      </c>
      <c r="E530" s="1" t="s">
        <v>530</v>
      </c>
      <c r="F530" s="1">
        <v>0</v>
      </c>
      <c r="G530" s="1" t="s">
        <v>13</v>
      </c>
      <c r="H530" s="1"/>
      <c r="I530" s="1"/>
    </row>
    <row r="531" spans="3:9" x14ac:dyDescent="0.25">
      <c r="C531" s="1">
        <v>7007507</v>
      </c>
      <c r="D531" s="1">
        <v>1531</v>
      </c>
      <c r="E531" s="1" t="s">
        <v>531</v>
      </c>
      <c r="F531" s="1">
        <v>0</v>
      </c>
      <c r="G531" s="1" t="s">
        <v>13</v>
      </c>
      <c r="H531" s="1"/>
      <c r="I531" s="1"/>
    </row>
    <row r="532" spans="3:9" x14ac:dyDescent="0.25">
      <c r="C532" s="1">
        <v>7007530</v>
      </c>
      <c r="D532" s="1">
        <v>1531</v>
      </c>
      <c r="E532" s="1" t="s">
        <v>532</v>
      </c>
      <c r="F532" s="1">
        <v>30</v>
      </c>
      <c r="G532" s="1" t="s">
        <v>96</v>
      </c>
      <c r="H532" s="1"/>
      <c r="I532" s="1"/>
    </row>
    <row r="533" spans="3:9" x14ac:dyDescent="0.25">
      <c r="C533" s="1">
        <v>7007531</v>
      </c>
      <c r="D533" s="1">
        <v>1531</v>
      </c>
      <c r="E533" s="1" t="s">
        <v>533</v>
      </c>
      <c r="F533" s="1">
        <v>3162</v>
      </c>
      <c r="G533" s="1" t="s">
        <v>96</v>
      </c>
      <c r="H533" s="1"/>
      <c r="I533" s="1"/>
    </row>
    <row r="534" spans="3:9" x14ac:dyDescent="0.25">
      <c r="C534" s="1">
        <v>7007536</v>
      </c>
      <c r="D534" s="1">
        <v>1531</v>
      </c>
      <c r="E534" s="1" t="s">
        <v>534</v>
      </c>
      <c r="F534" s="1">
        <v>0</v>
      </c>
      <c r="G534" s="1" t="s">
        <v>13</v>
      </c>
      <c r="H534" s="1"/>
      <c r="I534" s="1"/>
    </row>
    <row r="535" spans="3:9" x14ac:dyDescent="0.25">
      <c r="C535" s="1">
        <v>7007577</v>
      </c>
      <c r="D535" s="1">
        <v>1531</v>
      </c>
      <c r="E535" s="1" t="s">
        <v>535</v>
      </c>
      <c r="F535" s="1">
        <v>0</v>
      </c>
      <c r="G535" s="1" t="s">
        <v>96</v>
      </c>
      <c r="H535" s="1"/>
      <c r="I535" s="1"/>
    </row>
    <row r="536" spans="3:9" x14ac:dyDescent="0.25">
      <c r="C536" s="1">
        <v>7007586</v>
      </c>
      <c r="D536" s="1">
        <v>1531</v>
      </c>
      <c r="E536" s="1" t="s">
        <v>536</v>
      </c>
      <c r="F536" s="1">
        <v>22176</v>
      </c>
      <c r="G536" s="1" t="s">
        <v>96</v>
      </c>
      <c r="H536" s="1"/>
      <c r="I536" s="1"/>
    </row>
    <row r="537" spans="3:9" x14ac:dyDescent="0.25">
      <c r="C537" s="1">
        <v>7007631</v>
      </c>
      <c r="D537" s="1">
        <v>1531</v>
      </c>
      <c r="E537" s="1" t="s">
        <v>537</v>
      </c>
      <c r="F537" s="1">
        <v>34137.599999999999</v>
      </c>
      <c r="G537" s="1" t="s">
        <v>96</v>
      </c>
      <c r="H537" s="1"/>
      <c r="I537" s="1"/>
    </row>
    <row r="538" spans="3:9" x14ac:dyDescent="0.25">
      <c r="C538" s="1">
        <v>7007640</v>
      </c>
      <c r="D538" s="1">
        <v>1531</v>
      </c>
      <c r="E538" s="1" t="s">
        <v>538</v>
      </c>
      <c r="F538" s="1">
        <v>0</v>
      </c>
      <c r="G538" s="1" t="s">
        <v>96</v>
      </c>
      <c r="H538" s="1"/>
      <c r="I538" s="1"/>
    </row>
    <row r="539" spans="3:9" x14ac:dyDescent="0.25">
      <c r="C539" s="1">
        <v>7007644</v>
      </c>
      <c r="D539" s="1">
        <v>1531</v>
      </c>
      <c r="E539" s="1" t="s">
        <v>539</v>
      </c>
      <c r="F539" s="1">
        <v>0</v>
      </c>
      <c r="G539" s="1" t="s">
        <v>13</v>
      </c>
      <c r="H539" s="1"/>
      <c r="I539" s="1"/>
    </row>
    <row r="540" spans="3:9" x14ac:dyDescent="0.25">
      <c r="C540" s="1">
        <v>7007862</v>
      </c>
      <c r="D540" s="1">
        <v>1531</v>
      </c>
      <c r="E540" s="1" t="s">
        <v>540</v>
      </c>
      <c r="F540" s="1">
        <v>0</v>
      </c>
      <c r="G540" s="1" t="s">
        <v>13</v>
      </c>
      <c r="H540" s="1"/>
      <c r="I540" s="1"/>
    </row>
    <row r="541" spans="3:9" x14ac:dyDescent="0.25">
      <c r="C541" s="1">
        <v>7007863</v>
      </c>
      <c r="D541" s="1">
        <v>1531</v>
      </c>
      <c r="E541" s="1" t="s">
        <v>541</v>
      </c>
      <c r="F541" s="1">
        <v>0</v>
      </c>
      <c r="G541" s="1" t="s">
        <v>13</v>
      </c>
      <c r="H541" s="1"/>
      <c r="I541" s="1"/>
    </row>
    <row r="542" spans="3:9" x14ac:dyDescent="0.25">
      <c r="C542" s="1">
        <v>7007870</v>
      </c>
      <c r="D542" s="1">
        <v>1531</v>
      </c>
      <c r="E542" s="1" t="s">
        <v>542</v>
      </c>
      <c r="F542" s="1">
        <v>0</v>
      </c>
      <c r="G542" s="1" t="s">
        <v>13</v>
      </c>
      <c r="H542" s="1"/>
      <c r="I542" s="1"/>
    </row>
    <row r="543" spans="3:9" x14ac:dyDescent="0.25">
      <c r="C543" s="1">
        <v>7007925</v>
      </c>
      <c r="D543" s="1">
        <v>1531</v>
      </c>
      <c r="E543" s="1" t="s">
        <v>543</v>
      </c>
      <c r="F543" s="1">
        <v>64617.599999999999</v>
      </c>
      <c r="G543" s="1" t="s">
        <v>96</v>
      </c>
      <c r="H543" s="1"/>
      <c r="I543" s="1"/>
    </row>
    <row r="544" spans="3:9" x14ac:dyDescent="0.25">
      <c r="C544" s="1">
        <v>7007952</v>
      </c>
      <c r="D544" s="1">
        <v>1531</v>
      </c>
      <c r="E544" s="1" t="s">
        <v>544</v>
      </c>
      <c r="F544" s="1">
        <v>0</v>
      </c>
      <c r="G544" s="1" t="s">
        <v>13</v>
      </c>
      <c r="H544" s="1"/>
      <c r="I544" s="1"/>
    </row>
    <row r="545" spans="3:9" x14ac:dyDescent="0.25">
      <c r="C545" s="1">
        <v>7008002</v>
      </c>
      <c r="D545" s="1">
        <v>1531</v>
      </c>
      <c r="E545" s="1" t="s">
        <v>545</v>
      </c>
      <c r="F545" s="1">
        <v>0</v>
      </c>
      <c r="G545" s="1" t="s">
        <v>13</v>
      </c>
      <c r="H545" s="1"/>
      <c r="I545" s="1"/>
    </row>
    <row r="546" spans="3:9" x14ac:dyDescent="0.25">
      <c r="C546" s="1">
        <v>7008105</v>
      </c>
      <c r="D546" s="1">
        <v>1531</v>
      </c>
      <c r="E546" s="1" t="s">
        <v>546</v>
      </c>
      <c r="F546" s="1">
        <v>0</v>
      </c>
      <c r="G546" s="1" t="s">
        <v>13</v>
      </c>
      <c r="H546" s="1"/>
      <c r="I546" s="1"/>
    </row>
    <row r="547" spans="3:9" x14ac:dyDescent="0.25">
      <c r="C547" s="1">
        <v>7008113</v>
      </c>
      <c r="D547" s="1">
        <v>1531</v>
      </c>
      <c r="E547" s="1" t="s">
        <v>547</v>
      </c>
      <c r="F547" s="1">
        <v>0</v>
      </c>
      <c r="G547" s="1" t="s">
        <v>96</v>
      </c>
      <c r="H547" s="1"/>
      <c r="I547" s="1"/>
    </row>
    <row r="548" spans="3:9" x14ac:dyDescent="0.25">
      <c r="C548" s="1">
        <v>7008197</v>
      </c>
      <c r="D548" s="1">
        <v>1531</v>
      </c>
      <c r="E548" s="1" t="s">
        <v>548</v>
      </c>
      <c r="F548" s="1">
        <v>0</v>
      </c>
      <c r="G548" s="1" t="s">
        <v>13</v>
      </c>
      <c r="H548" s="1"/>
      <c r="I548" s="1"/>
    </row>
    <row r="549" spans="3:9" x14ac:dyDescent="0.25">
      <c r="C549" s="1">
        <v>7008211</v>
      </c>
      <c r="D549" s="1">
        <v>1531</v>
      </c>
      <c r="E549" s="1" t="s">
        <v>549</v>
      </c>
      <c r="F549" s="1">
        <v>0</v>
      </c>
      <c r="G549" s="1" t="s">
        <v>13</v>
      </c>
      <c r="H549" s="1"/>
      <c r="I549" s="1"/>
    </row>
    <row r="550" spans="3:9" x14ac:dyDescent="0.25">
      <c r="C550" s="1">
        <v>7008212</v>
      </c>
      <c r="D550" s="1">
        <v>1531</v>
      </c>
      <c r="E550" s="1" t="s">
        <v>550</v>
      </c>
      <c r="F550" s="1">
        <v>0</v>
      </c>
      <c r="G550" s="1" t="s">
        <v>13</v>
      </c>
      <c r="H550" s="1"/>
      <c r="I550" s="1"/>
    </row>
    <row r="551" spans="3:9" x14ac:dyDescent="0.25">
      <c r="C551" s="1">
        <v>7008222</v>
      </c>
      <c r="D551" s="1">
        <v>1531</v>
      </c>
      <c r="E551" s="1" t="s">
        <v>551</v>
      </c>
      <c r="F551" s="1">
        <v>0</v>
      </c>
      <c r="G551" s="1" t="s">
        <v>13</v>
      </c>
      <c r="H551" s="1"/>
      <c r="I551" s="1"/>
    </row>
    <row r="552" spans="3:9" x14ac:dyDescent="0.25">
      <c r="C552" s="1">
        <v>7008231</v>
      </c>
      <c r="D552" s="1">
        <v>1531</v>
      </c>
      <c r="E552" s="1" t="s">
        <v>552</v>
      </c>
      <c r="F552" s="1">
        <v>0</v>
      </c>
      <c r="G552" s="1" t="s">
        <v>13</v>
      </c>
      <c r="H552" s="1"/>
      <c r="I552" s="1"/>
    </row>
    <row r="553" spans="3:9" x14ac:dyDescent="0.25">
      <c r="C553" s="1">
        <v>7008374</v>
      </c>
      <c r="D553" s="1">
        <v>1531</v>
      </c>
      <c r="E553" s="1" t="s">
        <v>553</v>
      </c>
      <c r="F553" s="1">
        <v>0</v>
      </c>
      <c r="G553" s="1" t="s">
        <v>13</v>
      </c>
      <c r="H553" s="1"/>
      <c r="I553" s="1"/>
    </row>
    <row r="554" spans="3:9" x14ac:dyDescent="0.25">
      <c r="C554" s="1">
        <v>7008412</v>
      </c>
      <c r="D554" s="1">
        <v>1531</v>
      </c>
      <c r="E554" s="1" t="s">
        <v>554</v>
      </c>
      <c r="F554" s="1">
        <v>0</v>
      </c>
      <c r="G554" s="1" t="s">
        <v>8</v>
      </c>
      <c r="H554" s="1"/>
      <c r="I554" s="1"/>
    </row>
    <row r="555" spans="3:9" x14ac:dyDescent="0.25">
      <c r="C555" s="1">
        <v>7008445</v>
      </c>
      <c r="D555" s="1">
        <v>1531</v>
      </c>
      <c r="E555" s="1" t="s">
        <v>555</v>
      </c>
      <c r="F555" s="1">
        <v>0</v>
      </c>
      <c r="G555" s="1" t="s">
        <v>13</v>
      </c>
      <c r="H555" s="1"/>
      <c r="I555" s="1"/>
    </row>
    <row r="556" spans="3:9" x14ac:dyDescent="0.25">
      <c r="C556" s="1">
        <v>7008513</v>
      </c>
      <c r="D556" s="1">
        <v>1531</v>
      </c>
      <c r="E556" s="1" t="s">
        <v>556</v>
      </c>
      <c r="F556" s="1">
        <v>0</v>
      </c>
      <c r="G556" s="1" t="s">
        <v>13</v>
      </c>
      <c r="H556" s="1"/>
      <c r="I556" s="1"/>
    </row>
    <row r="557" spans="3:9" x14ac:dyDescent="0.25">
      <c r="C557" s="1">
        <v>7008514</v>
      </c>
      <c r="D557" s="1">
        <v>1531</v>
      </c>
      <c r="E557" s="1" t="s">
        <v>557</v>
      </c>
      <c r="F557" s="1">
        <v>0</v>
      </c>
      <c r="G557" s="1" t="s">
        <v>13</v>
      </c>
      <c r="H557" s="1"/>
      <c r="I557" s="1"/>
    </row>
    <row r="558" spans="3:9" x14ac:dyDescent="0.25">
      <c r="C558" s="1">
        <v>7008515</v>
      </c>
      <c r="D558" s="1">
        <v>1531</v>
      </c>
      <c r="E558" s="1" t="s">
        <v>558</v>
      </c>
      <c r="F558" s="1">
        <v>0</v>
      </c>
      <c r="G558" s="1" t="s">
        <v>13</v>
      </c>
      <c r="H558" s="1"/>
      <c r="I558" s="1"/>
    </row>
    <row r="559" spans="3:9" x14ac:dyDescent="0.25">
      <c r="C559" s="1">
        <v>7008516</v>
      </c>
      <c r="D559" s="1">
        <v>1531</v>
      </c>
      <c r="E559" s="1" t="s">
        <v>559</v>
      </c>
      <c r="F559" s="1">
        <v>0</v>
      </c>
      <c r="G559" s="1" t="s">
        <v>13</v>
      </c>
      <c r="H559" s="1"/>
      <c r="I559" s="1"/>
    </row>
    <row r="560" spans="3:9" x14ac:dyDescent="0.25">
      <c r="C560" s="1">
        <v>7008530</v>
      </c>
      <c r="D560" s="1">
        <v>1531</v>
      </c>
      <c r="E560" s="1" t="s">
        <v>560</v>
      </c>
      <c r="F560" s="1">
        <v>0</v>
      </c>
      <c r="G560" s="1" t="s">
        <v>13</v>
      </c>
      <c r="H560" s="1"/>
      <c r="I560" s="1"/>
    </row>
    <row r="561" spans="3:9" x14ac:dyDescent="0.25">
      <c r="C561" s="1">
        <v>7008533</v>
      </c>
      <c r="D561" s="1">
        <v>1531</v>
      </c>
      <c r="E561" s="1" t="s">
        <v>561</v>
      </c>
      <c r="F561" s="1">
        <v>0</v>
      </c>
      <c r="G561" s="1" t="s">
        <v>13</v>
      </c>
      <c r="H561" s="1"/>
      <c r="I561" s="1"/>
    </row>
    <row r="562" spans="3:9" x14ac:dyDescent="0.25">
      <c r="C562" s="1">
        <v>7008534</v>
      </c>
      <c r="D562" s="1">
        <v>1531</v>
      </c>
      <c r="E562" s="1" t="s">
        <v>562</v>
      </c>
      <c r="F562" s="1">
        <v>0</v>
      </c>
      <c r="G562" s="1" t="s">
        <v>13</v>
      </c>
      <c r="H562" s="1"/>
      <c r="I562" s="1"/>
    </row>
    <row r="563" spans="3:9" x14ac:dyDescent="0.25">
      <c r="C563" s="1">
        <v>7008567</v>
      </c>
      <c r="D563" s="1">
        <v>1531</v>
      </c>
      <c r="E563" s="1" t="s">
        <v>563</v>
      </c>
      <c r="F563" s="1">
        <v>2325</v>
      </c>
      <c r="G563" s="1" t="s">
        <v>96</v>
      </c>
      <c r="H563" s="1"/>
      <c r="I563" s="1"/>
    </row>
    <row r="564" spans="3:9" x14ac:dyDescent="0.25">
      <c r="C564" s="1">
        <v>7008568</v>
      </c>
      <c r="D564" s="1">
        <v>1531</v>
      </c>
      <c r="E564" s="1" t="s">
        <v>564</v>
      </c>
      <c r="F564" s="1">
        <v>1872.4</v>
      </c>
      <c r="G564" s="1" t="s">
        <v>96</v>
      </c>
      <c r="H564" s="1"/>
      <c r="I564" s="1"/>
    </row>
    <row r="565" spans="3:9" x14ac:dyDescent="0.25">
      <c r="C565" s="1">
        <v>7008569</v>
      </c>
      <c r="D565" s="1">
        <v>1531</v>
      </c>
      <c r="E565" s="1" t="s">
        <v>565</v>
      </c>
      <c r="F565" s="1">
        <v>852.5</v>
      </c>
      <c r="G565" s="1" t="s">
        <v>96</v>
      </c>
      <c r="H565" s="1"/>
      <c r="I565" s="1"/>
    </row>
    <row r="566" spans="3:9" x14ac:dyDescent="0.25">
      <c r="C566" s="1">
        <v>7008570</v>
      </c>
      <c r="D566" s="1">
        <v>1531</v>
      </c>
      <c r="E566" s="1" t="s">
        <v>566</v>
      </c>
      <c r="F566" s="1">
        <v>3240</v>
      </c>
      <c r="G566" s="1" t="s">
        <v>96</v>
      </c>
      <c r="H566" s="1"/>
      <c r="I566" s="1"/>
    </row>
    <row r="567" spans="3:9" x14ac:dyDescent="0.25">
      <c r="C567" s="1">
        <v>7008585</v>
      </c>
      <c r="D567" s="1">
        <v>1531</v>
      </c>
      <c r="E567" s="1" t="s">
        <v>567</v>
      </c>
      <c r="F567" s="1">
        <v>0</v>
      </c>
      <c r="G567" s="1" t="s">
        <v>13</v>
      </c>
      <c r="H567" s="1"/>
      <c r="I567" s="1"/>
    </row>
    <row r="568" spans="3:9" x14ac:dyDescent="0.25">
      <c r="C568" s="1">
        <v>7008639</v>
      </c>
      <c r="D568" s="1">
        <v>1531</v>
      </c>
      <c r="E568" s="1" t="s">
        <v>568</v>
      </c>
      <c r="F568" s="1">
        <v>0</v>
      </c>
      <c r="G568" s="1" t="s">
        <v>13</v>
      </c>
      <c r="H568" s="1"/>
      <c r="I568" s="1"/>
    </row>
    <row r="569" spans="3:9" x14ac:dyDescent="0.25">
      <c r="C569" s="1">
        <v>7008689</v>
      </c>
      <c r="D569" s="1">
        <v>1531</v>
      </c>
      <c r="E569" s="1" t="s">
        <v>569</v>
      </c>
      <c r="F569" s="1">
        <v>480</v>
      </c>
      <c r="G569" s="1" t="s">
        <v>96</v>
      </c>
      <c r="H569" s="1"/>
      <c r="I569" s="1"/>
    </row>
    <row r="570" spans="3:9" x14ac:dyDescent="0.25">
      <c r="C570" s="1">
        <v>7008705</v>
      </c>
      <c r="D570" s="1">
        <v>1531</v>
      </c>
      <c r="E570" s="1" t="s">
        <v>570</v>
      </c>
      <c r="F570" s="1">
        <v>0</v>
      </c>
      <c r="G570" s="1" t="s">
        <v>13</v>
      </c>
      <c r="H570" s="1"/>
      <c r="I570" s="1"/>
    </row>
    <row r="571" spans="3:9" x14ac:dyDescent="0.25">
      <c r="C571" s="1">
        <v>7008707</v>
      </c>
      <c r="D571" s="1">
        <v>1531</v>
      </c>
      <c r="E571" s="1" t="s">
        <v>571</v>
      </c>
      <c r="F571" s="1">
        <v>0</v>
      </c>
      <c r="G571" s="1" t="s">
        <v>13</v>
      </c>
      <c r="H571" s="1"/>
      <c r="I571" s="1"/>
    </row>
    <row r="572" spans="3:9" x14ac:dyDescent="0.25">
      <c r="C572" s="1">
        <v>7008742</v>
      </c>
      <c r="D572" s="1">
        <v>1531</v>
      </c>
      <c r="E572" s="1" t="s">
        <v>572</v>
      </c>
      <c r="F572" s="1">
        <v>0</v>
      </c>
      <c r="G572" s="1" t="s">
        <v>96</v>
      </c>
      <c r="H572" s="1"/>
      <c r="I572" s="1"/>
    </row>
    <row r="573" spans="3:9" x14ac:dyDescent="0.25">
      <c r="C573" s="1">
        <v>7008743</v>
      </c>
      <c r="D573" s="1">
        <v>1531</v>
      </c>
      <c r="E573" s="1" t="s">
        <v>573</v>
      </c>
      <c r="F573" s="1">
        <v>2080</v>
      </c>
      <c r="G573" s="1" t="s">
        <v>96</v>
      </c>
      <c r="H573" s="1"/>
      <c r="I573" s="1"/>
    </row>
    <row r="574" spans="3:9" x14ac:dyDescent="0.25">
      <c r="C574" s="1">
        <v>7008768</v>
      </c>
      <c r="D574" s="1">
        <v>1531</v>
      </c>
      <c r="E574" s="1" t="s">
        <v>574</v>
      </c>
      <c r="F574" s="1">
        <v>0</v>
      </c>
      <c r="G574" s="1" t="s">
        <v>13</v>
      </c>
      <c r="H574" s="1"/>
      <c r="I574" s="1"/>
    </row>
    <row r="575" spans="3:9" x14ac:dyDescent="0.25">
      <c r="C575" s="1">
        <v>7008797</v>
      </c>
      <c r="D575" s="1">
        <v>1531</v>
      </c>
      <c r="E575" s="1" t="s">
        <v>575</v>
      </c>
      <c r="F575" s="1">
        <v>0</v>
      </c>
      <c r="G575" s="1" t="s">
        <v>8</v>
      </c>
      <c r="H575" s="1"/>
      <c r="I575" s="1"/>
    </row>
    <row r="576" spans="3:9" x14ac:dyDescent="0.25">
      <c r="C576" s="1">
        <v>7008816</v>
      </c>
      <c r="D576" s="1">
        <v>1531</v>
      </c>
      <c r="E576" s="1" t="s">
        <v>576</v>
      </c>
      <c r="F576" s="1">
        <v>0</v>
      </c>
      <c r="G576" s="1" t="s">
        <v>13</v>
      </c>
      <c r="H576" s="1"/>
      <c r="I576" s="1"/>
    </row>
    <row r="577" spans="3:9" x14ac:dyDescent="0.25">
      <c r="C577" s="1">
        <v>7008819</v>
      </c>
      <c r="D577" s="1">
        <v>1531</v>
      </c>
      <c r="E577" s="1" t="s">
        <v>577</v>
      </c>
      <c r="F577" s="1">
        <v>0</v>
      </c>
      <c r="G577" s="1" t="s">
        <v>13</v>
      </c>
      <c r="H577" s="1"/>
      <c r="I577" s="1"/>
    </row>
    <row r="578" spans="3:9" x14ac:dyDescent="0.25">
      <c r="C578" s="1">
        <v>7008956</v>
      </c>
      <c r="D578" s="1">
        <v>1531</v>
      </c>
      <c r="E578" s="1" t="s">
        <v>578</v>
      </c>
      <c r="F578" s="1">
        <v>0</v>
      </c>
      <c r="G578" s="1" t="s">
        <v>13</v>
      </c>
      <c r="H578" s="1"/>
      <c r="I578" s="1"/>
    </row>
    <row r="579" spans="3:9" x14ac:dyDescent="0.25">
      <c r="C579" s="1">
        <v>7008957</v>
      </c>
      <c r="D579" s="1">
        <v>1531</v>
      </c>
      <c r="E579" s="1" t="s">
        <v>579</v>
      </c>
      <c r="F579" s="1">
        <v>0</v>
      </c>
      <c r="G579" s="1" t="s">
        <v>13</v>
      </c>
      <c r="H579" s="1"/>
      <c r="I579" s="1"/>
    </row>
    <row r="580" spans="3:9" x14ac:dyDescent="0.25">
      <c r="C580" s="1">
        <v>7008976</v>
      </c>
      <c r="D580" s="1">
        <v>1531</v>
      </c>
      <c r="E580" s="1" t="s">
        <v>580</v>
      </c>
      <c r="F580" s="1">
        <v>0</v>
      </c>
      <c r="G580" s="1" t="s">
        <v>13</v>
      </c>
      <c r="H580" s="1"/>
      <c r="I580" s="1"/>
    </row>
    <row r="581" spans="3:9" x14ac:dyDescent="0.25">
      <c r="C581" s="1">
        <v>7008977</v>
      </c>
      <c r="D581" s="1">
        <v>1531</v>
      </c>
      <c r="E581" s="1" t="s">
        <v>581</v>
      </c>
      <c r="F581" s="1">
        <v>0</v>
      </c>
      <c r="G581" s="1" t="s">
        <v>13</v>
      </c>
      <c r="H581" s="1"/>
      <c r="I581" s="1"/>
    </row>
    <row r="582" spans="3:9" x14ac:dyDescent="0.25">
      <c r="C582" s="1">
        <v>7009019</v>
      </c>
      <c r="D582" s="1">
        <v>1531</v>
      </c>
      <c r="E582" s="1" t="s">
        <v>582</v>
      </c>
      <c r="F582" s="1">
        <v>0</v>
      </c>
      <c r="G582" s="1" t="s">
        <v>96</v>
      </c>
      <c r="H582" s="1"/>
      <c r="I582" s="1"/>
    </row>
    <row r="583" spans="3:9" x14ac:dyDescent="0.25">
      <c r="C583" s="1">
        <v>7009020</v>
      </c>
      <c r="D583" s="1">
        <v>1531</v>
      </c>
      <c r="E583" s="1" t="s">
        <v>583</v>
      </c>
      <c r="F583" s="1">
        <v>0</v>
      </c>
      <c r="G583" s="1" t="s">
        <v>96</v>
      </c>
      <c r="H583" s="1"/>
      <c r="I583" s="1"/>
    </row>
    <row r="584" spans="3:9" x14ac:dyDescent="0.25">
      <c r="C584" s="1">
        <v>7009021</v>
      </c>
      <c r="D584" s="1">
        <v>1531</v>
      </c>
      <c r="E584" s="1" t="s">
        <v>584</v>
      </c>
      <c r="F584" s="1">
        <v>0</v>
      </c>
      <c r="G584" s="1" t="s">
        <v>96</v>
      </c>
      <c r="H584" s="1"/>
      <c r="I584" s="1"/>
    </row>
    <row r="585" spans="3:9" x14ac:dyDescent="0.25">
      <c r="C585" s="1">
        <v>7009022</v>
      </c>
      <c r="D585" s="1">
        <v>1531</v>
      </c>
      <c r="E585" s="1" t="s">
        <v>585</v>
      </c>
      <c r="F585" s="1">
        <v>0</v>
      </c>
      <c r="G585" s="1" t="s">
        <v>96</v>
      </c>
      <c r="H585" s="1"/>
      <c r="I585" s="1"/>
    </row>
    <row r="586" spans="3:9" x14ac:dyDescent="0.25">
      <c r="C586" s="1">
        <v>7009023</v>
      </c>
      <c r="D586" s="1">
        <v>1531</v>
      </c>
      <c r="E586" s="1" t="s">
        <v>586</v>
      </c>
      <c r="F586" s="1">
        <v>0</v>
      </c>
      <c r="G586" s="1" t="s">
        <v>96</v>
      </c>
      <c r="H586" s="1"/>
      <c r="I586" s="1"/>
    </row>
    <row r="587" spans="3:9" x14ac:dyDescent="0.25">
      <c r="C587" s="1">
        <v>7009024</v>
      </c>
      <c r="D587" s="1">
        <v>1531</v>
      </c>
      <c r="E587" s="1" t="s">
        <v>587</v>
      </c>
      <c r="F587" s="1">
        <v>0</v>
      </c>
      <c r="G587" s="1" t="s">
        <v>96</v>
      </c>
      <c r="H587" s="1"/>
      <c r="I587" s="1"/>
    </row>
    <row r="588" spans="3:9" x14ac:dyDescent="0.25">
      <c r="C588" s="1">
        <v>7009025</v>
      </c>
      <c r="D588" s="1">
        <v>1531</v>
      </c>
      <c r="E588" s="1" t="s">
        <v>588</v>
      </c>
      <c r="F588" s="1">
        <v>0</v>
      </c>
      <c r="G588" s="1" t="s">
        <v>96</v>
      </c>
      <c r="H588" s="1"/>
      <c r="I588" s="1"/>
    </row>
    <row r="589" spans="3:9" x14ac:dyDescent="0.25">
      <c r="C589" s="1">
        <v>7009029</v>
      </c>
      <c r="D589" s="1">
        <v>1531</v>
      </c>
      <c r="E589" s="1" t="s">
        <v>589</v>
      </c>
      <c r="F589" s="1">
        <v>0</v>
      </c>
      <c r="G589" s="1" t="s">
        <v>96</v>
      </c>
      <c r="H589" s="1"/>
      <c r="I589" s="1"/>
    </row>
    <row r="590" spans="3:9" x14ac:dyDescent="0.25">
      <c r="C590" s="1">
        <v>7009030</v>
      </c>
      <c r="D590" s="1">
        <v>1531</v>
      </c>
      <c r="E590" s="1" t="s">
        <v>590</v>
      </c>
      <c r="F590" s="1">
        <v>0</v>
      </c>
      <c r="G590" s="1" t="s">
        <v>96</v>
      </c>
      <c r="H590" s="1"/>
      <c r="I590" s="1"/>
    </row>
    <row r="591" spans="3:9" x14ac:dyDescent="0.25">
      <c r="C591" s="1">
        <v>7009031</v>
      </c>
      <c r="D591" s="1">
        <v>1531</v>
      </c>
      <c r="E591" s="1" t="s">
        <v>591</v>
      </c>
      <c r="F591" s="1">
        <v>0</v>
      </c>
      <c r="G591" s="1" t="s">
        <v>96</v>
      </c>
      <c r="H591" s="1"/>
      <c r="I591" s="1"/>
    </row>
    <row r="592" spans="3:9" x14ac:dyDescent="0.25">
      <c r="C592" s="1">
        <v>7009032</v>
      </c>
      <c r="D592" s="1">
        <v>1531</v>
      </c>
      <c r="E592" s="1" t="s">
        <v>592</v>
      </c>
      <c r="F592" s="1">
        <v>0</v>
      </c>
      <c r="G592" s="1" t="s">
        <v>96</v>
      </c>
      <c r="H592" s="1"/>
      <c r="I592" s="1"/>
    </row>
    <row r="593" spans="3:9" x14ac:dyDescent="0.25">
      <c r="C593" s="1">
        <v>7009033</v>
      </c>
      <c r="D593" s="1">
        <v>1531</v>
      </c>
      <c r="E593" s="1" t="s">
        <v>593</v>
      </c>
      <c r="F593" s="1">
        <v>0</v>
      </c>
      <c r="G593" s="1" t="s">
        <v>96</v>
      </c>
      <c r="H593" s="1"/>
      <c r="I593" s="1"/>
    </row>
    <row r="594" spans="3:9" x14ac:dyDescent="0.25">
      <c r="C594" s="1">
        <v>7009034</v>
      </c>
      <c r="D594" s="1">
        <v>1531</v>
      </c>
      <c r="E594" s="1" t="s">
        <v>594</v>
      </c>
      <c r="F594" s="1">
        <v>0</v>
      </c>
      <c r="G594" s="1" t="s">
        <v>96</v>
      </c>
      <c r="H594" s="1"/>
      <c r="I594" s="1"/>
    </row>
    <row r="595" spans="3:9" x14ac:dyDescent="0.25">
      <c r="C595" s="1">
        <v>7009035</v>
      </c>
      <c r="D595" s="1">
        <v>1531</v>
      </c>
      <c r="E595" s="1" t="s">
        <v>595</v>
      </c>
      <c r="F595" s="1">
        <v>0</v>
      </c>
      <c r="G595" s="1" t="s">
        <v>96</v>
      </c>
      <c r="H595" s="1"/>
      <c r="I595" s="1"/>
    </row>
    <row r="596" spans="3:9" x14ac:dyDescent="0.25">
      <c r="C596" s="1">
        <v>7009036</v>
      </c>
      <c r="D596" s="1">
        <v>1531</v>
      </c>
      <c r="E596" s="1" t="s">
        <v>596</v>
      </c>
      <c r="F596" s="1">
        <v>0</v>
      </c>
      <c r="G596" s="1" t="s">
        <v>96</v>
      </c>
      <c r="H596" s="1"/>
      <c r="I596" s="1"/>
    </row>
    <row r="597" spans="3:9" x14ac:dyDescent="0.25">
      <c r="C597" s="1">
        <v>7009037</v>
      </c>
      <c r="D597" s="1">
        <v>1531</v>
      </c>
      <c r="E597" s="1" t="s">
        <v>597</v>
      </c>
      <c r="F597" s="1">
        <v>0</v>
      </c>
      <c r="G597" s="1" t="s">
        <v>96</v>
      </c>
      <c r="H597" s="1"/>
      <c r="I597" s="1"/>
    </row>
    <row r="598" spans="3:9" x14ac:dyDescent="0.25">
      <c r="C598" s="1">
        <v>7009038</v>
      </c>
      <c r="D598" s="1">
        <v>1531</v>
      </c>
      <c r="E598" s="1" t="s">
        <v>598</v>
      </c>
      <c r="F598" s="1">
        <v>0</v>
      </c>
      <c r="G598" s="1" t="s">
        <v>96</v>
      </c>
      <c r="H598" s="1"/>
      <c r="I598" s="1"/>
    </row>
    <row r="599" spans="3:9" x14ac:dyDescent="0.25">
      <c r="C599" s="1">
        <v>7009040</v>
      </c>
      <c r="D599" s="1">
        <v>1531</v>
      </c>
      <c r="E599" s="1" t="s">
        <v>599</v>
      </c>
      <c r="F599" s="1">
        <v>0</v>
      </c>
      <c r="G599" s="1" t="s">
        <v>96</v>
      </c>
      <c r="H599" s="1"/>
      <c r="I599" s="1"/>
    </row>
    <row r="600" spans="3:9" x14ac:dyDescent="0.25">
      <c r="C600" s="1">
        <v>7009041</v>
      </c>
      <c r="D600" s="1">
        <v>1531</v>
      </c>
      <c r="E600" s="1" t="s">
        <v>600</v>
      </c>
      <c r="F600" s="1">
        <v>0</v>
      </c>
      <c r="G600" s="1" t="s">
        <v>96</v>
      </c>
      <c r="H600" s="1"/>
      <c r="I600" s="1"/>
    </row>
    <row r="601" spans="3:9" x14ac:dyDescent="0.25">
      <c r="C601" s="1">
        <v>7009042</v>
      </c>
      <c r="D601" s="1">
        <v>1531</v>
      </c>
      <c r="E601" s="1" t="s">
        <v>601</v>
      </c>
      <c r="F601" s="1">
        <v>0</v>
      </c>
      <c r="G601" s="1" t="s">
        <v>96</v>
      </c>
      <c r="H601" s="1"/>
      <c r="I601" s="1"/>
    </row>
    <row r="602" spans="3:9" x14ac:dyDescent="0.25">
      <c r="C602" s="1">
        <v>7009043</v>
      </c>
      <c r="D602" s="1">
        <v>1531</v>
      </c>
      <c r="E602" s="1" t="s">
        <v>602</v>
      </c>
      <c r="F602" s="1">
        <v>0</v>
      </c>
      <c r="G602" s="1" t="s">
        <v>96</v>
      </c>
      <c r="H602" s="1"/>
      <c r="I602" s="1"/>
    </row>
    <row r="603" spans="3:9" x14ac:dyDescent="0.25">
      <c r="C603" s="1">
        <v>7009044</v>
      </c>
      <c r="D603" s="1">
        <v>1531</v>
      </c>
      <c r="E603" s="1" t="s">
        <v>603</v>
      </c>
      <c r="F603" s="1">
        <v>0</v>
      </c>
      <c r="G603" s="1" t="s">
        <v>96</v>
      </c>
      <c r="H603" s="1"/>
      <c r="I603" s="1"/>
    </row>
    <row r="604" spans="3:9" x14ac:dyDescent="0.25">
      <c r="C604" s="1">
        <v>7009045</v>
      </c>
      <c r="D604" s="1">
        <v>1531</v>
      </c>
      <c r="E604" s="1" t="s">
        <v>604</v>
      </c>
      <c r="F604" s="1">
        <v>0</v>
      </c>
      <c r="G604" s="1" t="s">
        <v>96</v>
      </c>
      <c r="H604" s="1"/>
      <c r="I604" s="1"/>
    </row>
    <row r="605" spans="3:9" x14ac:dyDescent="0.25">
      <c r="C605" s="1">
        <v>7009046</v>
      </c>
      <c r="D605" s="1">
        <v>1531</v>
      </c>
      <c r="E605" s="1" t="s">
        <v>605</v>
      </c>
      <c r="F605" s="1">
        <v>0</v>
      </c>
      <c r="G605" s="1" t="s">
        <v>96</v>
      </c>
      <c r="H605" s="1"/>
      <c r="I605" s="1"/>
    </row>
    <row r="606" spans="3:9" x14ac:dyDescent="0.25">
      <c r="C606" s="1">
        <v>7009047</v>
      </c>
      <c r="D606" s="1">
        <v>1531</v>
      </c>
      <c r="E606" s="1" t="s">
        <v>606</v>
      </c>
      <c r="F606" s="1">
        <v>0</v>
      </c>
      <c r="G606" s="1" t="s">
        <v>96</v>
      </c>
      <c r="H606" s="1"/>
      <c r="I606" s="1"/>
    </row>
    <row r="607" spans="3:9" x14ac:dyDescent="0.25">
      <c r="C607" s="1">
        <v>7009048</v>
      </c>
      <c r="D607" s="1">
        <v>1531</v>
      </c>
      <c r="E607" s="1" t="s">
        <v>607</v>
      </c>
      <c r="F607" s="1">
        <v>0</v>
      </c>
      <c r="G607" s="1" t="s">
        <v>96</v>
      </c>
      <c r="H607" s="1"/>
      <c r="I607" s="1"/>
    </row>
    <row r="608" spans="3:9" x14ac:dyDescent="0.25">
      <c r="C608" s="1">
        <v>7009050</v>
      </c>
      <c r="D608" s="1">
        <v>1531</v>
      </c>
      <c r="E608" s="1" t="s">
        <v>608</v>
      </c>
      <c r="F608" s="1">
        <v>0</v>
      </c>
      <c r="G608" s="1" t="s">
        <v>96</v>
      </c>
      <c r="H608" s="1"/>
      <c r="I608" s="1"/>
    </row>
    <row r="609" spans="3:9" x14ac:dyDescent="0.25">
      <c r="C609" s="1">
        <v>7009051</v>
      </c>
      <c r="D609" s="1">
        <v>1531</v>
      </c>
      <c r="E609" s="1" t="s">
        <v>609</v>
      </c>
      <c r="F609" s="1">
        <v>0</v>
      </c>
      <c r="G609" s="1" t="s">
        <v>96</v>
      </c>
      <c r="H609" s="1"/>
      <c r="I609" s="1"/>
    </row>
    <row r="610" spans="3:9" x14ac:dyDescent="0.25">
      <c r="C610" s="1">
        <v>7009052</v>
      </c>
      <c r="D610" s="1">
        <v>1531</v>
      </c>
      <c r="E610" s="1" t="s">
        <v>610</v>
      </c>
      <c r="F610" s="1">
        <v>0</v>
      </c>
      <c r="G610" s="1" t="s">
        <v>96</v>
      </c>
      <c r="H610" s="1"/>
      <c r="I610" s="1"/>
    </row>
    <row r="611" spans="3:9" x14ac:dyDescent="0.25">
      <c r="C611" s="1">
        <v>7009053</v>
      </c>
      <c r="D611" s="1">
        <v>1531</v>
      </c>
      <c r="E611" s="1" t="s">
        <v>611</v>
      </c>
      <c r="F611" s="1">
        <v>0</v>
      </c>
      <c r="G611" s="1" t="s">
        <v>96</v>
      </c>
      <c r="H611" s="1"/>
      <c r="I611" s="1"/>
    </row>
    <row r="612" spans="3:9" x14ac:dyDescent="0.25">
      <c r="C612" s="1">
        <v>7009054</v>
      </c>
      <c r="D612" s="1">
        <v>1531</v>
      </c>
      <c r="E612" s="1" t="s">
        <v>612</v>
      </c>
      <c r="F612" s="1">
        <v>0</v>
      </c>
      <c r="G612" s="1" t="s">
        <v>96</v>
      </c>
      <c r="H612" s="1"/>
      <c r="I612" s="1"/>
    </row>
    <row r="613" spans="3:9" x14ac:dyDescent="0.25">
      <c r="C613" s="1">
        <v>7009055</v>
      </c>
      <c r="D613" s="1">
        <v>1531</v>
      </c>
      <c r="E613" s="1" t="s">
        <v>613</v>
      </c>
      <c r="F613" s="1">
        <v>0</v>
      </c>
      <c r="G613" s="1" t="s">
        <v>96</v>
      </c>
      <c r="H613" s="1"/>
      <c r="I613" s="1"/>
    </row>
    <row r="614" spans="3:9" x14ac:dyDescent="0.25">
      <c r="C614" s="1">
        <v>7009057</v>
      </c>
      <c r="D614" s="1">
        <v>1531</v>
      </c>
      <c r="E614" s="1" t="s">
        <v>614</v>
      </c>
      <c r="F614" s="1">
        <v>0</v>
      </c>
      <c r="G614" s="1" t="s">
        <v>96</v>
      </c>
      <c r="H614" s="1"/>
      <c r="I614" s="1"/>
    </row>
    <row r="615" spans="3:9" x14ac:dyDescent="0.25">
      <c r="C615" s="1">
        <v>7009058</v>
      </c>
      <c r="D615" s="1">
        <v>1531</v>
      </c>
      <c r="E615" s="1" t="s">
        <v>615</v>
      </c>
      <c r="F615" s="1">
        <v>0</v>
      </c>
      <c r="G615" s="1" t="s">
        <v>96</v>
      </c>
      <c r="H615" s="1"/>
      <c r="I615" s="1"/>
    </row>
    <row r="616" spans="3:9" x14ac:dyDescent="0.25">
      <c r="C616" s="1">
        <v>7009059</v>
      </c>
      <c r="D616" s="1">
        <v>1531</v>
      </c>
      <c r="E616" s="1" t="s">
        <v>616</v>
      </c>
      <c r="F616" s="1">
        <v>0</v>
      </c>
      <c r="G616" s="1" t="s">
        <v>96</v>
      </c>
      <c r="H616" s="1"/>
      <c r="I616" s="1"/>
    </row>
    <row r="617" spans="3:9" x14ac:dyDescent="0.25">
      <c r="C617" s="1">
        <v>7009060</v>
      </c>
      <c r="D617" s="1">
        <v>1531</v>
      </c>
      <c r="E617" s="1" t="s">
        <v>617</v>
      </c>
      <c r="F617" s="1">
        <v>0</v>
      </c>
      <c r="G617" s="1" t="s">
        <v>96</v>
      </c>
      <c r="H617" s="1"/>
      <c r="I617" s="1"/>
    </row>
    <row r="618" spans="3:9" x14ac:dyDescent="0.25">
      <c r="C618" s="1">
        <v>7009130</v>
      </c>
      <c r="D618" s="1">
        <v>1531</v>
      </c>
      <c r="E618" s="1" t="s">
        <v>1384</v>
      </c>
      <c r="F618" s="1">
        <v>0</v>
      </c>
      <c r="G618" s="1" t="s">
        <v>13</v>
      </c>
      <c r="H618" s="1"/>
      <c r="I618" s="1"/>
    </row>
    <row r="619" spans="3:9" x14ac:dyDescent="0.25">
      <c r="C619" s="1">
        <v>8000024</v>
      </c>
      <c r="D619" s="1">
        <v>1531</v>
      </c>
      <c r="E619" s="1" t="s">
        <v>618</v>
      </c>
      <c r="F619" s="1">
        <v>0</v>
      </c>
      <c r="G619" s="1" t="s">
        <v>8</v>
      </c>
      <c r="H619" s="1"/>
      <c r="I619" s="1"/>
    </row>
    <row r="620" spans="3:9" x14ac:dyDescent="0.25">
      <c r="C620" s="1">
        <v>8000027</v>
      </c>
      <c r="D620" s="1">
        <v>1531</v>
      </c>
      <c r="E620" s="1" t="s">
        <v>619</v>
      </c>
      <c r="F620" s="1">
        <v>0</v>
      </c>
      <c r="G620" s="1" t="s">
        <v>8</v>
      </c>
      <c r="H620" s="1"/>
      <c r="I620" s="1"/>
    </row>
    <row r="621" spans="3:9" x14ac:dyDescent="0.25">
      <c r="C621" s="1">
        <v>8000030</v>
      </c>
      <c r="D621" s="1">
        <v>1531</v>
      </c>
      <c r="E621" s="1" t="s">
        <v>620</v>
      </c>
      <c r="F621" s="1">
        <v>0</v>
      </c>
      <c r="G621" s="1" t="s">
        <v>8</v>
      </c>
      <c r="H621" s="1"/>
      <c r="I621" s="1"/>
    </row>
    <row r="622" spans="3:9" x14ac:dyDescent="0.25">
      <c r="C622" s="1">
        <v>8000031</v>
      </c>
      <c r="D622" s="1">
        <v>1531</v>
      </c>
      <c r="E622" s="1" t="s">
        <v>621</v>
      </c>
      <c r="F622" s="1">
        <v>0</v>
      </c>
      <c r="G622" s="1" t="s">
        <v>8</v>
      </c>
      <c r="H622" s="1"/>
      <c r="I622" s="1"/>
    </row>
    <row r="623" spans="3:9" x14ac:dyDescent="0.25">
      <c r="C623" s="1">
        <v>8000042</v>
      </c>
      <c r="D623" s="1">
        <v>1531</v>
      </c>
      <c r="E623" s="1" t="s">
        <v>622</v>
      </c>
      <c r="F623" s="1">
        <v>0</v>
      </c>
      <c r="G623" s="1" t="s">
        <v>8</v>
      </c>
      <c r="H623" s="1"/>
      <c r="I623" s="1"/>
    </row>
    <row r="624" spans="3:9" x14ac:dyDescent="0.25">
      <c r="C624" s="1">
        <v>8000052</v>
      </c>
      <c r="D624" s="1">
        <v>1531</v>
      </c>
      <c r="E624" s="1" t="s">
        <v>623</v>
      </c>
      <c r="F624" s="1">
        <v>0</v>
      </c>
      <c r="G624" s="1" t="s">
        <v>8</v>
      </c>
      <c r="H624" s="1"/>
      <c r="I624" s="1"/>
    </row>
    <row r="625" spans="3:9" x14ac:dyDescent="0.25">
      <c r="C625" s="1">
        <v>8000061</v>
      </c>
      <c r="D625" s="1">
        <v>1531</v>
      </c>
      <c r="E625" s="1" t="s">
        <v>624</v>
      </c>
      <c r="F625" s="1">
        <v>0</v>
      </c>
      <c r="G625" s="1" t="s">
        <v>8</v>
      </c>
      <c r="H625" s="1"/>
      <c r="I625" s="1"/>
    </row>
    <row r="626" spans="3:9" x14ac:dyDescent="0.25">
      <c r="C626" s="1">
        <v>8000066</v>
      </c>
      <c r="D626" s="1">
        <v>1531</v>
      </c>
      <c r="E626" s="1" t="s">
        <v>625</v>
      </c>
      <c r="F626" s="1">
        <v>0</v>
      </c>
      <c r="G626" s="1" t="s">
        <v>8</v>
      </c>
      <c r="H626" s="1"/>
      <c r="I626" s="1"/>
    </row>
    <row r="627" spans="3:9" x14ac:dyDescent="0.25">
      <c r="C627" s="1">
        <v>8000067</v>
      </c>
      <c r="D627" s="1">
        <v>1531</v>
      </c>
      <c r="E627" s="1" t="s">
        <v>626</v>
      </c>
      <c r="F627" s="1">
        <v>0</v>
      </c>
      <c r="G627" s="1" t="s">
        <v>8</v>
      </c>
      <c r="H627" s="1"/>
      <c r="I627" s="1"/>
    </row>
    <row r="628" spans="3:9" x14ac:dyDescent="0.25">
      <c r="C628" s="1">
        <v>8000068</v>
      </c>
      <c r="D628" s="1">
        <v>1531</v>
      </c>
      <c r="E628" s="1" t="s">
        <v>627</v>
      </c>
      <c r="F628" s="1">
        <v>0</v>
      </c>
      <c r="G628" s="1" t="s">
        <v>8</v>
      </c>
      <c r="H628" s="1"/>
      <c r="I628" s="1"/>
    </row>
    <row r="629" spans="3:9" x14ac:dyDescent="0.25">
      <c r="C629" s="1">
        <v>8000071</v>
      </c>
      <c r="D629" s="1">
        <v>1531</v>
      </c>
      <c r="E629" s="1" t="s">
        <v>628</v>
      </c>
      <c r="F629" s="1">
        <v>0</v>
      </c>
      <c r="G629" s="1" t="s">
        <v>8</v>
      </c>
      <c r="H629" s="1"/>
      <c r="I629" s="1"/>
    </row>
    <row r="630" spans="3:9" x14ac:dyDescent="0.25">
      <c r="C630" s="1">
        <v>8000081</v>
      </c>
      <c r="D630" s="1">
        <v>1531</v>
      </c>
      <c r="E630" s="1" t="s">
        <v>629</v>
      </c>
      <c r="F630" s="1">
        <v>0</v>
      </c>
      <c r="G630" s="1" t="s">
        <v>8</v>
      </c>
      <c r="H630" s="1"/>
      <c r="I630" s="1"/>
    </row>
    <row r="631" spans="3:9" x14ac:dyDescent="0.25">
      <c r="C631" s="1">
        <v>8000082</v>
      </c>
      <c r="D631" s="1">
        <v>1531</v>
      </c>
      <c r="E631" s="1" t="s">
        <v>630</v>
      </c>
      <c r="F631" s="1">
        <v>0</v>
      </c>
      <c r="G631" s="1" t="s">
        <v>8</v>
      </c>
      <c r="H631" s="1"/>
      <c r="I631" s="1"/>
    </row>
    <row r="632" spans="3:9" x14ac:dyDescent="0.25">
      <c r="C632" s="1">
        <v>8000086</v>
      </c>
      <c r="D632" s="1">
        <v>1531</v>
      </c>
      <c r="E632" s="1" t="s">
        <v>631</v>
      </c>
      <c r="F632" s="1">
        <v>0</v>
      </c>
      <c r="G632" s="1" t="s">
        <v>8</v>
      </c>
      <c r="H632" s="1"/>
      <c r="I632" s="1"/>
    </row>
    <row r="633" spans="3:9" x14ac:dyDescent="0.25">
      <c r="C633" s="1">
        <v>8000095</v>
      </c>
      <c r="D633" s="1">
        <v>1531</v>
      </c>
      <c r="E633" s="1" t="s">
        <v>632</v>
      </c>
      <c r="F633" s="1">
        <v>0</v>
      </c>
      <c r="G633" s="1" t="s">
        <v>8</v>
      </c>
      <c r="H633" s="1"/>
      <c r="I633" s="1"/>
    </row>
    <row r="634" spans="3:9" x14ac:dyDescent="0.25">
      <c r="C634" s="1">
        <v>8000096</v>
      </c>
      <c r="D634" s="1">
        <v>1531</v>
      </c>
      <c r="E634" s="1" t="s">
        <v>633</v>
      </c>
      <c r="F634" s="1">
        <v>0</v>
      </c>
      <c r="G634" s="1" t="s">
        <v>8</v>
      </c>
      <c r="H634" s="1"/>
      <c r="I634" s="1"/>
    </row>
    <row r="635" spans="3:9" x14ac:dyDescent="0.25">
      <c r="C635" s="1">
        <v>8000097</v>
      </c>
      <c r="D635" s="1">
        <v>1531</v>
      </c>
      <c r="E635" s="1" t="s">
        <v>634</v>
      </c>
      <c r="F635" s="1">
        <v>0</v>
      </c>
      <c r="G635" s="1" t="s">
        <v>8</v>
      </c>
      <c r="H635" s="1"/>
      <c r="I635" s="1"/>
    </row>
    <row r="636" spans="3:9" x14ac:dyDescent="0.25">
      <c r="C636" s="1">
        <v>8000115</v>
      </c>
      <c r="D636" s="1">
        <v>1531</v>
      </c>
      <c r="E636" s="1" t="s">
        <v>635</v>
      </c>
      <c r="F636" s="1">
        <v>0</v>
      </c>
      <c r="G636" s="1" t="s">
        <v>8</v>
      </c>
      <c r="H636" s="1"/>
      <c r="I636" s="1"/>
    </row>
    <row r="637" spans="3:9" x14ac:dyDescent="0.25">
      <c r="C637" s="1">
        <v>8000123</v>
      </c>
      <c r="D637" s="1">
        <v>1531</v>
      </c>
      <c r="E637" s="1" t="s">
        <v>636</v>
      </c>
      <c r="F637" s="1">
        <v>0</v>
      </c>
      <c r="G637" s="1" t="s">
        <v>8</v>
      </c>
      <c r="H637" s="1"/>
      <c r="I637" s="1"/>
    </row>
    <row r="638" spans="3:9" x14ac:dyDescent="0.25">
      <c r="C638" s="1">
        <v>8000125</v>
      </c>
      <c r="D638" s="1">
        <v>1531</v>
      </c>
      <c r="E638" s="1" t="s">
        <v>637</v>
      </c>
      <c r="F638" s="1">
        <v>0</v>
      </c>
      <c r="G638" s="1" t="s">
        <v>8</v>
      </c>
      <c r="H638" s="1"/>
      <c r="I638" s="1"/>
    </row>
    <row r="639" spans="3:9" x14ac:dyDescent="0.25">
      <c r="C639" s="1">
        <v>8000126</v>
      </c>
      <c r="D639" s="1">
        <v>1531</v>
      </c>
      <c r="E639" s="1" t="s">
        <v>638</v>
      </c>
      <c r="F639" s="1">
        <v>377</v>
      </c>
      <c r="G639" s="1" t="s">
        <v>8</v>
      </c>
      <c r="H639" s="1"/>
      <c r="I639" s="1"/>
    </row>
    <row r="640" spans="3:9" x14ac:dyDescent="0.25">
      <c r="C640" s="1">
        <v>8000128</v>
      </c>
      <c r="D640" s="1">
        <v>1531</v>
      </c>
      <c r="E640" s="1" t="s">
        <v>639</v>
      </c>
      <c r="F640" s="1">
        <v>0</v>
      </c>
      <c r="G640" s="1" t="s">
        <v>8</v>
      </c>
      <c r="H640" s="1"/>
      <c r="I640" s="1"/>
    </row>
    <row r="641" spans="3:9" x14ac:dyDescent="0.25">
      <c r="C641" s="1">
        <v>8000129</v>
      </c>
      <c r="D641" s="1">
        <v>1531</v>
      </c>
      <c r="E641" s="1" t="s">
        <v>640</v>
      </c>
      <c r="F641" s="1">
        <v>0</v>
      </c>
      <c r="G641" s="1" t="s">
        <v>8</v>
      </c>
      <c r="H641" s="1"/>
      <c r="I641" s="1"/>
    </row>
    <row r="642" spans="3:9" x14ac:dyDescent="0.25">
      <c r="C642" s="1">
        <v>8000132</v>
      </c>
      <c r="D642" s="1">
        <v>1531</v>
      </c>
      <c r="E642" s="1" t="s">
        <v>641</v>
      </c>
      <c r="F642" s="1">
        <v>0</v>
      </c>
      <c r="G642" s="1" t="s">
        <v>8</v>
      </c>
      <c r="H642" s="1"/>
      <c r="I642" s="1"/>
    </row>
    <row r="643" spans="3:9" x14ac:dyDescent="0.25">
      <c r="C643" s="1">
        <v>8000134</v>
      </c>
      <c r="D643" s="1">
        <v>1531</v>
      </c>
      <c r="E643" s="1" t="s">
        <v>642</v>
      </c>
      <c r="F643" s="1">
        <v>0</v>
      </c>
      <c r="G643" s="1" t="s">
        <v>8</v>
      </c>
      <c r="H643" s="1"/>
      <c r="I643" s="1"/>
    </row>
    <row r="644" spans="3:9" x14ac:dyDescent="0.25">
      <c r="C644" s="1">
        <v>8000135</v>
      </c>
      <c r="D644" s="1">
        <v>1531</v>
      </c>
      <c r="E644" s="1" t="s">
        <v>643</v>
      </c>
      <c r="F644" s="1">
        <v>0</v>
      </c>
      <c r="G644" s="1" t="s">
        <v>8</v>
      </c>
      <c r="H644" s="1"/>
      <c r="I644" s="1"/>
    </row>
    <row r="645" spans="3:9" x14ac:dyDescent="0.25">
      <c r="C645" s="1">
        <v>8000136</v>
      </c>
      <c r="D645" s="1">
        <v>1531</v>
      </c>
      <c r="E645" s="1" t="s">
        <v>644</v>
      </c>
      <c r="F645" s="1">
        <v>0</v>
      </c>
      <c r="G645" s="1" t="s">
        <v>8</v>
      </c>
      <c r="H645" s="1"/>
      <c r="I645" s="1"/>
    </row>
    <row r="646" spans="3:9" x14ac:dyDescent="0.25">
      <c r="C646" s="1">
        <v>8000148</v>
      </c>
      <c r="D646" s="1">
        <v>1531</v>
      </c>
      <c r="E646" s="1" t="s">
        <v>645</v>
      </c>
      <c r="F646" s="1">
        <v>0</v>
      </c>
      <c r="G646" s="1" t="s">
        <v>8</v>
      </c>
      <c r="H646" s="1"/>
      <c r="I646" s="1"/>
    </row>
    <row r="647" spans="3:9" x14ac:dyDescent="0.25">
      <c r="C647" s="1">
        <v>8000236</v>
      </c>
      <c r="D647" s="1">
        <v>1531</v>
      </c>
      <c r="E647" s="1" t="s">
        <v>646</v>
      </c>
      <c r="F647" s="1">
        <v>0</v>
      </c>
      <c r="G647" s="1" t="s">
        <v>96</v>
      </c>
      <c r="H647" s="1"/>
      <c r="I647" s="1"/>
    </row>
    <row r="648" spans="3:9" x14ac:dyDescent="0.25">
      <c r="C648" s="1">
        <v>8000237</v>
      </c>
      <c r="D648" s="1">
        <v>1531</v>
      </c>
      <c r="E648" s="1" t="s">
        <v>647</v>
      </c>
      <c r="F648" s="1">
        <v>2901</v>
      </c>
      <c r="G648" s="1" t="s">
        <v>96</v>
      </c>
      <c r="H648" s="1"/>
      <c r="I648" s="1"/>
    </row>
    <row r="649" spans="3:9" x14ac:dyDescent="0.25">
      <c r="C649" s="1">
        <v>8000261</v>
      </c>
      <c r="D649" s="1">
        <v>1531</v>
      </c>
      <c r="E649" s="1" t="s">
        <v>648</v>
      </c>
      <c r="F649" s="1">
        <v>3875</v>
      </c>
      <c r="G649" s="1" t="s">
        <v>96</v>
      </c>
      <c r="H649" s="1"/>
      <c r="I649" s="1"/>
    </row>
    <row r="650" spans="3:9" x14ac:dyDescent="0.25">
      <c r="C650" s="1">
        <v>8000281</v>
      </c>
      <c r="D650" s="1">
        <v>1531</v>
      </c>
      <c r="E650" s="1" t="s">
        <v>649</v>
      </c>
      <c r="F650" s="1">
        <v>0</v>
      </c>
      <c r="G650" s="1" t="s">
        <v>8</v>
      </c>
      <c r="H650" s="1"/>
      <c r="I650" s="1"/>
    </row>
    <row r="651" spans="3:9" x14ac:dyDescent="0.25">
      <c r="C651" s="1">
        <v>8000291</v>
      </c>
      <c r="D651" s="1">
        <v>1531</v>
      </c>
      <c r="E651" s="1" t="s">
        <v>650</v>
      </c>
      <c r="F651" s="1">
        <v>0</v>
      </c>
      <c r="G651" s="1" t="s">
        <v>8</v>
      </c>
      <c r="H651" s="1"/>
      <c r="I651" s="1"/>
    </row>
    <row r="652" spans="3:9" x14ac:dyDescent="0.25">
      <c r="C652" s="1">
        <v>8000292</v>
      </c>
      <c r="D652" s="1">
        <v>1531</v>
      </c>
      <c r="E652" s="1" t="s">
        <v>651</v>
      </c>
      <c r="F652" s="1">
        <v>946</v>
      </c>
      <c r="G652" s="1" t="s">
        <v>8</v>
      </c>
      <c r="H652" s="1"/>
      <c r="I652" s="1"/>
    </row>
    <row r="653" spans="3:9" x14ac:dyDescent="0.25">
      <c r="C653" s="1">
        <v>8000293</v>
      </c>
      <c r="D653" s="1">
        <v>1531</v>
      </c>
      <c r="E653" s="1" t="s">
        <v>652</v>
      </c>
      <c r="F653" s="1">
        <v>0</v>
      </c>
      <c r="G653" s="1" t="s">
        <v>8</v>
      </c>
      <c r="H653" s="1"/>
      <c r="I653" s="1"/>
    </row>
    <row r="654" spans="3:9" x14ac:dyDescent="0.25">
      <c r="C654" s="1">
        <v>8000294</v>
      </c>
      <c r="D654" s="1">
        <v>1531</v>
      </c>
      <c r="E654" s="1" t="s">
        <v>653</v>
      </c>
      <c r="F654" s="1">
        <v>0</v>
      </c>
      <c r="G654" s="1" t="s">
        <v>8</v>
      </c>
      <c r="H654" s="1"/>
      <c r="I654" s="1"/>
    </row>
    <row r="655" spans="3:9" x14ac:dyDescent="0.25">
      <c r="C655" s="1">
        <v>8000295</v>
      </c>
      <c r="D655" s="1">
        <v>1531</v>
      </c>
      <c r="E655" s="1" t="s">
        <v>654</v>
      </c>
      <c r="F655" s="1">
        <v>0</v>
      </c>
      <c r="G655" s="1" t="s">
        <v>8</v>
      </c>
      <c r="H655" s="1"/>
      <c r="I655" s="1"/>
    </row>
    <row r="656" spans="3:9" x14ac:dyDescent="0.25">
      <c r="C656" s="1">
        <v>8000296</v>
      </c>
      <c r="D656" s="1">
        <v>1531</v>
      </c>
      <c r="E656" s="1" t="s">
        <v>655</v>
      </c>
      <c r="F656" s="1">
        <v>0</v>
      </c>
      <c r="G656" s="1" t="s">
        <v>8</v>
      </c>
      <c r="H656" s="1"/>
      <c r="I656" s="1"/>
    </row>
    <row r="657" spans="3:9" x14ac:dyDescent="0.25">
      <c r="C657" s="1">
        <v>8000340</v>
      </c>
      <c r="D657" s="1">
        <v>1531</v>
      </c>
      <c r="E657" s="1" t="s">
        <v>656</v>
      </c>
      <c r="F657" s="1">
        <v>0</v>
      </c>
      <c r="G657" s="1" t="s">
        <v>8</v>
      </c>
      <c r="H657" s="1"/>
      <c r="I657" s="1"/>
    </row>
    <row r="658" spans="3:9" x14ac:dyDescent="0.25">
      <c r="C658" s="1">
        <v>8000446</v>
      </c>
      <c r="D658" s="1">
        <v>1531</v>
      </c>
      <c r="E658" s="1" t="s">
        <v>657</v>
      </c>
      <c r="F658" s="1">
        <v>0</v>
      </c>
      <c r="G658" s="1" t="s">
        <v>8</v>
      </c>
      <c r="H658" s="1"/>
      <c r="I658" s="1"/>
    </row>
    <row r="659" spans="3:9" x14ac:dyDescent="0.25">
      <c r="C659" s="1">
        <v>8000447</v>
      </c>
      <c r="D659" s="1">
        <v>1531</v>
      </c>
      <c r="E659" s="1" t="s">
        <v>658</v>
      </c>
      <c r="F659" s="1">
        <v>0</v>
      </c>
      <c r="G659" s="1" t="s">
        <v>8</v>
      </c>
      <c r="H659" s="1"/>
      <c r="I659" s="1"/>
    </row>
    <row r="660" spans="3:9" x14ac:dyDescent="0.25">
      <c r="C660" s="1">
        <v>8000509</v>
      </c>
      <c r="D660" s="1">
        <v>1531</v>
      </c>
      <c r="E660" s="1" t="s">
        <v>659</v>
      </c>
      <c r="F660" s="1">
        <v>0</v>
      </c>
      <c r="G660" s="1" t="s">
        <v>8</v>
      </c>
      <c r="H660" s="1"/>
      <c r="I660" s="1"/>
    </row>
    <row r="661" spans="3:9" x14ac:dyDescent="0.25">
      <c r="C661" s="1">
        <v>8000534</v>
      </c>
      <c r="D661" s="1">
        <v>1531</v>
      </c>
      <c r="E661" s="1" t="s">
        <v>660</v>
      </c>
      <c r="F661" s="1">
        <v>0</v>
      </c>
      <c r="G661" s="1" t="s">
        <v>8</v>
      </c>
      <c r="H661" s="1"/>
      <c r="I661" s="1"/>
    </row>
    <row r="662" spans="3:9" x14ac:dyDescent="0.25">
      <c r="C662" s="1">
        <v>8000540</v>
      </c>
      <c r="D662" s="1">
        <v>1531</v>
      </c>
      <c r="E662" s="1" t="s">
        <v>661</v>
      </c>
      <c r="F662" s="1">
        <v>0</v>
      </c>
      <c r="G662" s="1" t="s">
        <v>8</v>
      </c>
      <c r="H662" s="1"/>
      <c r="I662" s="1"/>
    </row>
    <row r="663" spans="3:9" x14ac:dyDescent="0.25">
      <c r="C663" s="1">
        <v>8000541</v>
      </c>
      <c r="D663" s="1">
        <v>1531</v>
      </c>
      <c r="E663" s="1" t="s">
        <v>662</v>
      </c>
      <c r="F663" s="1">
        <v>0</v>
      </c>
      <c r="G663" s="1" t="s">
        <v>8</v>
      </c>
      <c r="H663" s="1"/>
      <c r="I663" s="1"/>
    </row>
    <row r="664" spans="3:9" x14ac:dyDescent="0.25">
      <c r="C664" s="1">
        <v>8000545</v>
      </c>
      <c r="D664" s="1">
        <v>1531</v>
      </c>
      <c r="E664" s="1" t="s">
        <v>663</v>
      </c>
      <c r="F664" s="1">
        <v>0</v>
      </c>
      <c r="G664" s="1" t="s">
        <v>8</v>
      </c>
      <c r="H664" s="1"/>
      <c r="I664" s="1"/>
    </row>
    <row r="665" spans="3:9" x14ac:dyDescent="0.25">
      <c r="C665" s="1">
        <v>8000562</v>
      </c>
      <c r="D665" s="1">
        <v>1531</v>
      </c>
      <c r="E665" s="1" t="s">
        <v>664</v>
      </c>
      <c r="F665" s="1">
        <v>0</v>
      </c>
      <c r="G665" s="1" t="s">
        <v>8</v>
      </c>
      <c r="H665" s="1"/>
      <c r="I665" s="1"/>
    </row>
    <row r="666" spans="3:9" x14ac:dyDescent="0.25">
      <c r="C666" s="1">
        <v>8000570</v>
      </c>
      <c r="D666" s="1">
        <v>1531</v>
      </c>
      <c r="E666" s="1" t="s">
        <v>665</v>
      </c>
      <c r="F666" s="1">
        <v>0</v>
      </c>
      <c r="G666" s="1" t="s">
        <v>8</v>
      </c>
      <c r="H666" s="1"/>
      <c r="I666" s="1"/>
    </row>
    <row r="667" spans="3:9" x14ac:dyDescent="0.25">
      <c r="C667" s="1">
        <v>8000582</v>
      </c>
      <c r="D667" s="1">
        <v>1531</v>
      </c>
      <c r="E667" s="1" t="s">
        <v>666</v>
      </c>
      <c r="F667" s="1">
        <v>0</v>
      </c>
      <c r="G667" s="1" t="s">
        <v>8</v>
      </c>
      <c r="H667" s="1"/>
      <c r="I667" s="1"/>
    </row>
    <row r="668" spans="3:9" x14ac:dyDescent="0.25">
      <c r="C668" s="1">
        <v>8000591</v>
      </c>
      <c r="D668" s="1">
        <v>1531</v>
      </c>
      <c r="E668" s="1" t="s">
        <v>667</v>
      </c>
      <c r="F668" s="1">
        <v>0</v>
      </c>
      <c r="G668" s="1" t="s">
        <v>8</v>
      </c>
      <c r="H668" s="1"/>
      <c r="I668" s="1"/>
    </row>
    <row r="669" spans="3:9" x14ac:dyDescent="0.25">
      <c r="C669" s="1">
        <v>8000640</v>
      </c>
      <c r="D669" s="1">
        <v>1531</v>
      </c>
      <c r="E669" s="1" t="s">
        <v>668</v>
      </c>
      <c r="F669" s="1">
        <v>0</v>
      </c>
      <c r="G669" s="1" t="s">
        <v>8</v>
      </c>
      <c r="H669" s="1"/>
      <c r="I669" s="1"/>
    </row>
    <row r="670" spans="3:9" x14ac:dyDescent="0.25">
      <c r="C670" s="1">
        <v>8000642</v>
      </c>
      <c r="D670" s="1">
        <v>1531</v>
      </c>
      <c r="E670" s="1" t="s">
        <v>669</v>
      </c>
      <c r="F670" s="1">
        <v>0</v>
      </c>
      <c r="G670" s="1" t="s">
        <v>8</v>
      </c>
      <c r="H670" s="1"/>
      <c r="I670" s="1"/>
    </row>
    <row r="671" spans="3:9" x14ac:dyDescent="0.25">
      <c r="C671" s="1">
        <v>8000643</v>
      </c>
      <c r="D671" s="1">
        <v>1531</v>
      </c>
      <c r="E671" s="1" t="s">
        <v>670</v>
      </c>
      <c r="F671" s="1">
        <v>0</v>
      </c>
      <c r="G671" s="1" t="s">
        <v>8</v>
      </c>
      <c r="H671" s="1"/>
      <c r="I671" s="1"/>
    </row>
    <row r="672" spans="3:9" x14ac:dyDescent="0.25">
      <c r="C672" s="1">
        <v>8000644</v>
      </c>
      <c r="D672" s="1">
        <v>1531</v>
      </c>
      <c r="E672" s="1" t="s">
        <v>671</v>
      </c>
      <c r="F672" s="1">
        <v>0</v>
      </c>
      <c r="G672" s="1" t="s">
        <v>8</v>
      </c>
      <c r="H672" s="1"/>
      <c r="I672" s="1"/>
    </row>
    <row r="673" spans="3:9" x14ac:dyDescent="0.25">
      <c r="C673" s="1">
        <v>8000646</v>
      </c>
      <c r="D673" s="1">
        <v>1531</v>
      </c>
      <c r="E673" s="1" t="s">
        <v>672</v>
      </c>
      <c r="F673" s="1">
        <v>0</v>
      </c>
      <c r="G673" s="1" t="s">
        <v>8</v>
      </c>
      <c r="H673" s="1"/>
      <c r="I673" s="1"/>
    </row>
    <row r="674" spans="3:9" x14ac:dyDescent="0.25">
      <c r="C674" s="1">
        <v>8000647</v>
      </c>
      <c r="D674" s="1">
        <v>1531</v>
      </c>
      <c r="E674" s="1" t="s">
        <v>673</v>
      </c>
      <c r="F674" s="1">
        <v>0</v>
      </c>
      <c r="G674" s="1" t="s">
        <v>8</v>
      </c>
      <c r="H674" s="1"/>
      <c r="I674" s="1"/>
    </row>
    <row r="675" spans="3:9" x14ac:dyDescent="0.25">
      <c r="C675" s="1">
        <v>8000649</v>
      </c>
      <c r="D675" s="1">
        <v>1531</v>
      </c>
      <c r="E675" s="1" t="s">
        <v>674</v>
      </c>
      <c r="F675" s="1">
        <v>0</v>
      </c>
      <c r="G675" s="1" t="s">
        <v>8</v>
      </c>
      <c r="H675" s="1"/>
      <c r="I675" s="1"/>
    </row>
    <row r="676" spans="3:9" x14ac:dyDescent="0.25">
      <c r="C676" s="1">
        <v>8000657</v>
      </c>
      <c r="D676" s="1">
        <v>1531</v>
      </c>
      <c r="E676" s="1" t="s">
        <v>675</v>
      </c>
      <c r="F676" s="1">
        <v>0</v>
      </c>
      <c r="G676" s="1" t="s">
        <v>8</v>
      </c>
      <c r="H676" s="1"/>
      <c r="I676" s="1"/>
    </row>
    <row r="677" spans="3:9" x14ac:dyDescent="0.25">
      <c r="C677" s="1">
        <v>8000658</v>
      </c>
      <c r="D677" s="1">
        <v>1531</v>
      </c>
      <c r="E677" s="1" t="s">
        <v>676</v>
      </c>
      <c r="F677" s="1">
        <v>0</v>
      </c>
      <c r="G677" s="1" t="s">
        <v>8</v>
      </c>
      <c r="H677" s="1"/>
      <c r="I677" s="1"/>
    </row>
    <row r="678" spans="3:9" x14ac:dyDescent="0.25">
      <c r="C678" s="1">
        <v>8000674</v>
      </c>
      <c r="D678" s="1">
        <v>1531</v>
      </c>
      <c r="E678" s="1" t="s">
        <v>677</v>
      </c>
      <c r="F678" s="1">
        <v>0</v>
      </c>
      <c r="G678" s="1" t="s">
        <v>8</v>
      </c>
      <c r="H678" s="1"/>
      <c r="I678" s="1"/>
    </row>
    <row r="679" spans="3:9" x14ac:dyDescent="0.25">
      <c r="C679" s="1">
        <v>8000677</v>
      </c>
      <c r="D679" s="1">
        <v>1531</v>
      </c>
      <c r="E679" s="1" t="s">
        <v>678</v>
      </c>
      <c r="F679" s="1">
        <v>0</v>
      </c>
      <c r="G679" s="1" t="s">
        <v>8</v>
      </c>
      <c r="H679" s="1"/>
      <c r="I679" s="1"/>
    </row>
    <row r="680" spans="3:9" x14ac:dyDescent="0.25">
      <c r="C680" s="1">
        <v>8000678</v>
      </c>
      <c r="D680" s="1">
        <v>1531</v>
      </c>
      <c r="E680" s="1" t="s">
        <v>679</v>
      </c>
      <c r="F680" s="1">
        <v>0</v>
      </c>
      <c r="G680" s="1" t="s">
        <v>8</v>
      </c>
      <c r="H680" s="1"/>
      <c r="I680" s="1"/>
    </row>
    <row r="681" spans="3:9" x14ac:dyDescent="0.25">
      <c r="C681" s="1">
        <v>8000688</v>
      </c>
      <c r="D681" s="1">
        <v>1531</v>
      </c>
      <c r="E681" s="1" t="s">
        <v>680</v>
      </c>
      <c r="F681" s="1">
        <v>0</v>
      </c>
      <c r="G681" s="1" t="s">
        <v>8</v>
      </c>
      <c r="H681" s="1"/>
      <c r="I681" s="1"/>
    </row>
    <row r="682" spans="3:9" x14ac:dyDescent="0.25">
      <c r="C682" s="1">
        <v>8000693</v>
      </c>
      <c r="D682" s="1">
        <v>1531</v>
      </c>
      <c r="E682" s="1" t="s">
        <v>681</v>
      </c>
      <c r="F682" s="1">
        <v>0</v>
      </c>
      <c r="G682" s="1" t="s">
        <v>8</v>
      </c>
      <c r="H682" s="1"/>
      <c r="I682" s="1"/>
    </row>
    <row r="683" spans="3:9" x14ac:dyDescent="0.25">
      <c r="C683" s="1">
        <v>8000702</v>
      </c>
      <c r="D683" s="1">
        <v>1531</v>
      </c>
      <c r="E683" s="1" t="s">
        <v>682</v>
      </c>
      <c r="F683" s="1">
        <v>0</v>
      </c>
      <c r="G683" s="1" t="s">
        <v>8</v>
      </c>
      <c r="H683" s="1"/>
      <c r="I683" s="1"/>
    </row>
    <row r="684" spans="3:9" x14ac:dyDescent="0.25">
      <c r="C684" s="1">
        <v>8000703</v>
      </c>
      <c r="D684" s="1">
        <v>1531</v>
      </c>
      <c r="E684" s="1" t="s">
        <v>683</v>
      </c>
      <c r="F684" s="1">
        <v>0</v>
      </c>
      <c r="G684" s="1" t="s">
        <v>8</v>
      </c>
      <c r="H684" s="1"/>
      <c r="I684" s="1"/>
    </row>
    <row r="685" spans="3:9" x14ac:dyDescent="0.25">
      <c r="C685" s="1">
        <v>8000724</v>
      </c>
      <c r="D685" s="1">
        <v>1531</v>
      </c>
      <c r="E685" s="1" t="s">
        <v>684</v>
      </c>
      <c r="F685" s="1">
        <v>0</v>
      </c>
      <c r="G685" s="1" t="s">
        <v>8</v>
      </c>
      <c r="H685" s="1"/>
      <c r="I685" s="1"/>
    </row>
    <row r="686" spans="3:9" x14ac:dyDescent="0.25">
      <c r="C686" s="1">
        <v>8000726</v>
      </c>
      <c r="D686" s="1">
        <v>1531</v>
      </c>
      <c r="E686" s="1" t="s">
        <v>685</v>
      </c>
      <c r="F686" s="1">
        <v>0</v>
      </c>
      <c r="G686" s="1" t="s">
        <v>8</v>
      </c>
      <c r="H686" s="1"/>
      <c r="I686" s="1"/>
    </row>
    <row r="687" spans="3:9" x14ac:dyDescent="0.25">
      <c r="C687" s="1">
        <v>8000729</v>
      </c>
      <c r="D687" s="1">
        <v>1531</v>
      </c>
      <c r="E687" s="1" t="s">
        <v>686</v>
      </c>
      <c r="F687" s="1">
        <v>0</v>
      </c>
      <c r="G687" s="1" t="s">
        <v>8</v>
      </c>
      <c r="H687" s="1"/>
      <c r="I687" s="1"/>
    </row>
    <row r="688" spans="3:9" x14ac:dyDescent="0.25">
      <c r="C688" s="1">
        <v>8000733</v>
      </c>
      <c r="D688" s="1">
        <v>1531</v>
      </c>
      <c r="E688" s="1" t="s">
        <v>687</v>
      </c>
      <c r="F688" s="1">
        <v>0</v>
      </c>
      <c r="G688" s="1" t="s">
        <v>8</v>
      </c>
      <c r="H688" s="1"/>
      <c r="I688" s="1"/>
    </row>
    <row r="689" spans="3:9" x14ac:dyDescent="0.25">
      <c r="C689" s="1">
        <v>8000734</v>
      </c>
      <c r="D689" s="1">
        <v>1531</v>
      </c>
      <c r="E689" s="1" t="s">
        <v>688</v>
      </c>
      <c r="F689" s="1">
        <v>0</v>
      </c>
      <c r="G689" s="1" t="s">
        <v>8</v>
      </c>
      <c r="H689" s="1"/>
      <c r="I689" s="1"/>
    </row>
    <row r="690" spans="3:9" x14ac:dyDescent="0.25">
      <c r="C690" s="1">
        <v>8000735</v>
      </c>
      <c r="D690" s="1">
        <v>1531</v>
      </c>
      <c r="E690" s="1" t="s">
        <v>689</v>
      </c>
      <c r="F690" s="1">
        <v>0</v>
      </c>
      <c r="G690" s="1" t="s">
        <v>8</v>
      </c>
      <c r="H690" s="1"/>
      <c r="I690" s="1"/>
    </row>
    <row r="691" spans="3:9" x14ac:dyDescent="0.25">
      <c r="C691" s="1">
        <v>8000738</v>
      </c>
      <c r="D691" s="1">
        <v>1531</v>
      </c>
      <c r="E691" s="1" t="s">
        <v>690</v>
      </c>
      <c r="F691" s="1">
        <v>0</v>
      </c>
      <c r="G691" s="1" t="s">
        <v>8</v>
      </c>
      <c r="H691" s="1"/>
      <c r="I691" s="1"/>
    </row>
    <row r="692" spans="3:9" x14ac:dyDescent="0.25">
      <c r="C692" s="1">
        <v>8000739</v>
      </c>
      <c r="D692" s="1">
        <v>1531</v>
      </c>
      <c r="E692" s="1" t="s">
        <v>691</v>
      </c>
      <c r="F692" s="1">
        <v>0</v>
      </c>
      <c r="G692" s="1" t="s">
        <v>8</v>
      </c>
      <c r="H692" s="1"/>
      <c r="I692" s="1"/>
    </row>
    <row r="693" spans="3:9" x14ac:dyDescent="0.25">
      <c r="C693" s="1">
        <v>8000740</v>
      </c>
      <c r="D693" s="1">
        <v>1531</v>
      </c>
      <c r="E693" s="1" t="s">
        <v>692</v>
      </c>
      <c r="F693" s="1">
        <v>0</v>
      </c>
      <c r="G693" s="1" t="s">
        <v>8</v>
      </c>
      <c r="H693" s="1"/>
      <c r="I693" s="1"/>
    </row>
    <row r="694" spans="3:9" x14ac:dyDescent="0.25">
      <c r="C694" s="1">
        <v>8000744</v>
      </c>
      <c r="D694" s="1">
        <v>1531</v>
      </c>
      <c r="E694" s="1" t="s">
        <v>693</v>
      </c>
      <c r="F694" s="1">
        <v>0</v>
      </c>
      <c r="G694" s="1" t="s">
        <v>8</v>
      </c>
      <c r="H694" s="1"/>
      <c r="I694" s="1"/>
    </row>
    <row r="695" spans="3:9" x14ac:dyDescent="0.25">
      <c r="C695" s="1">
        <v>8000749</v>
      </c>
      <c r="D695" s="1">
        <v>1531</v>
      </c>
      <c r="E695" s="1" t="s">
        <v>694</v>
      </c>
      <c r="F695" s="1">
        <v>0</v>
      </c>
      <c r="G695" s="1" t="s">
        <v>8</v>
      </c>
      <c r="H695" s="1"/>
      <c r="I695" s="1"/>
    </row>
    <row r="696" spans="3:9" x14ac:dyDescent="0.25">
      <c r="C696" s="1">
        <v>8000750</v>
      </c>
      <c r="D696" s="1">
        <v>1531</v>
      </c>
      <c r="E696" s="1" t="s">
        <v>695</v>
      </c>
      <c r="F696" s="1">
        <v>0</v>
      </c>
      <c r="G696" s="1" t="s">
        <v>8</v>
      </c>
      <c r="H696" s="1"/>
      <c r="I696" s="1"/>
    </row>
    <row r="697" spans="3:9" x14ac:dyDescent="0.25">
      <c r="C697" s="1">
        <v>8000753</v>
      </c>
      <c r="D697" s="1">
        <v>1531</v>
      </c>
      <c r="E697" s="1" t="s">
        <v>696</v>
      </c>
      <c r="F697" s="1">
        <v>0</v>
      </c>
      <c r="G697" s="1" t="s">
        <v>8</v>
      </c>
      <c r="H697" s="1"/>
      <c r="I697" s="1"/>
    </row>
    <row r="698" spans="3:9" x14ac:dyDescent="0.25">
      <c r="C698" s="1">
        <v>8000754</v>
      </c>
      <c r="D698" s="1">
        <v>1531</v>
      </c>
      <c r="E698" s="1" t="s">
        <v>697</v>
      </c>
      <c r="F698" s="1">
        <v>0</v>
      </c>
      <c r="G698" s="1" t="s">
        <v>8</v>
      </c>
      <c r="H698" s="1"/>
      <c r="I698" s="1"/>
    </row>
    <row r="699" spans="3:9" x14ac:dyDescent="0.25">
      <c r="C699" s="1">
        <v>8000769</v>
      </c>
      <c r="D699" s="1">
        <v>1531</v>
      </c>
      <c r="E699" s="1" t="s">
        <v>698</v>
      </c>
      <c r="F699" s="1">
        <v>0</v>
      </c>
      <c r="G699" s="1" t="s">
        <v>8</v>
      </c>
      <c r="H699" s="1"/>
      <c r="I699" s="1"/>
    </row>
    <row r="700" spans="3:9" x14ac:dyDescent="0.25">
      <c r="C700" s="1">
        <v>8000825</v>
      </c>
      <c r="D700" s="1">
        <v>1531</v>
      </c>
      <c r="E700" s="1" t="s">
        <v>699</v>
      </c>
      <c r="F700" s="1">
        <v>0</v>
      </c>
      <c r="G700" s="1" t="s">
        <v>96</v>
      </c>
      <c r="H700" s="1"/>
      <c r="I700" s="1"/>
    </row>
    <row r="701" spans="3:9" x14ac:dyDescent="0.25">
      <c r="C701" s="1">
        <v>8000827</v>
      </c>
      <c r="D701" s="1">
        <v>1531</v>
      </c>
      <c r="E701" s="1" t="s">
        <v>700</v>
      </c>
      <c r="F701" s="1">
        <v>2436.0010000000002</v>
      </c>
      <c r="G701" s="1" t="s">
        <v>96</v>
      </c>
      <c r="H701" s="1"/>
      <c r="I701" s="1"/>
    </row>
    <row r="702" spans="3:9" x14ac:dyDescent="0.25">
      <c r="C702" s="1">
        <v>8000829</v>
      </c>
      <c r="D702" s="1">
        <v>1531</v>
      </c>
      <c r="E702" s="1" t="s">
        <v>701</v>
      </c>
      <c r="F702" s="1">
        <v>847</v>
      </c>
      <c r="G702" s="1" t="s">
        <v>96</v>
      </c>
      <c r="H702" s="1"/>
      <c r="I702" s="1"/>
    </row>
    <row r="703" spans="3:9" x14ac:dyDescent="0.25">
      <c r="C703" s="1">
        <v>8000831</v>
      </c>
      <c r="D703" s="1">
        <v>1531</v>
      </c>
      <c r="E703" s="1" t="s">
        <v>702</v>
      </c>
      <c r="F703" s="1">
        <v>0</v>
      </c>
      <c r="G703" s="1" t="s">
        <v>96</v>
      </c>
      <c r="H703" s="1"/>
      <c r="I703" s="1"/>
    </row>
    <row r="704" spans="3:9" x14ac:dyDescent="0.25">
      <c r="C704" s="1">
        <v>8000832</v>
      </c>
      <c r="D704" s="1">
        <v>1531</v>
      </c>
      <c r="E704" s="1" t="s">
        <v>703</v>
      </c>
      <c r="F704" s="1">
        <v>4171</v>
      </c>
      <c r="G704" s="1" t="s">
        <v>96</v>
      </c>
      <c r="H704" s="1"/>
      <c r="I704" s="1"/>
    </row>
    <row r="705" spans="3:9" x14ac:dyDescent="0.25">
      <c r="C705" s="1">
        <v>8000833</v>
      </c>
      <c r="D705" s="1">
        <v>1531</v>
      </c>
      <c r="E705" s="1" t="s">
        <v>704</v>
      </c>
      <c r="F705" s="1">
        <v>0</v>
      </c>
      <c r="G705" s="1" t="s">
        <v>96</v>
      </c>
      <c r="H705" s="1"/>
      <c r="I705" s="1"/>
    </row>
    <row r="706" spans="3:9" x14ac:dyDescent="0.25">
      <c r="C706" s="1">
        <v>8000836</v>
      </c>
      <c r="D706" s="1">
        <v>1531</v>
      </c>
      <c r="E706" s="1" t="s">
        <v>705</v>
      </c>
      <c r="F706" s="1">
        <v>0</v>
      </c>
      <c r="G706" s="1" t="s">
        <v>96</v>
      </c>
      <c r="H706" s="1"/>
      <c r="I706" s="1"/>
    </row>
    <row r="707" spans="3:9" x14ac:dyDescent="0.25">
      <c r="C707" s="1">
        <v>8000839</v>
      </c>
      <c r="D707" s="1">
        <v>1531</v>
      </c>
      <c r="E707" s="1" t="s">
        <v>706</v>
      </c>
      <c r="F707" s="1">
        <v>0</v>
      </c>
      <c r="G707" s="1" t="s">
        <v>96</v>
      </c>
      <c r="H707" s="1"/>
      <c r="I707" s="1"/>
    </row>
    <row r="708" spans="3:9" x14ac:dyDescent="0.25">
      <c r="C708" s="1">
        <v>8000840</v>
      </c>
      <c r="D708" s="1">
        <v>1531</v>
      </c>
      <c r="E708" s="1" t="s">
        <v>707</v>
      </c>
      <c r="F708" s="1">
        <v>0</v>
      </c>
      <c r="G708" s="1" t="s">
        <v>96</v>
      </c>
      <c r="H708" s="1"/>
      <c r="I708" s="1"/>
    </row>
    <row r="709" spans="3:9" x14ac:dyDescent="0.25">
      <c r="C709" s="1">
        <v>8000841</v>
      </c>
      <c r="D709" s="1">
        <v>1531</v>
      </c>
      <c r="E709" s="1" t="s">
        <v>708</v>
      </c>
      <c r="F709" s="1">
        <v>363</v>
      </c>
      <c r="G709" s="1" t="s">
        <v>96</v>
      </c>
      <c r="H709" s="1"/>
      <c r="I709" s="1"/>
    </row>
    <row r="710" spans="3:9" x14ac:dyDescent="0.25">
      <c r="C710" s="1">
        <v>8000842</v>
      </c>
      <c r="D710" s="1">
        <v>1531</v>
      </c>
      <c r="E710" s="1" t="s">
        <v>709</v>
      </c>
      <c r="F710" s="1">
        <v>3456</v>
      </c>
      <c r="G710" s="1" t="s">
        <v>96</v>
      </c>
      <c r="H710" s="1"/>
      <c r="I710" s="1"/>
    </row>
    <row r="711" spans="3:9" x14ac:dyDescent="0.25">
      <c r="C711" s="1">
        <v>8000844</v>
      </c>
      <c r="D711" s="1">
        <v>1531</v>
      </c>
      <c r="E711" s="1" t="s">
        <v>710</v>
      </c>
      <c r="F711" s="1">
        <v>0</v>
      </c>
      <c r="G711" s="1" t="s">
        <v>96</v>
      </c>
      <c r="H711" s="1"/>
      <c r="I711" s="1"/>
    </row>
    <row r="712" spans="3:9" x14ac:dyDescent="0.25">
      <c r="C712" s="1">
        <v>8000858</v>
      </c>
      <c r="D712" s="1">
        <v>1531</v>
      </c>
      <c r="E712" s="1" t="s">
        <v>711</v>
      </c>
      <c r="F712" s="1">
        <v>0</v>
      </c>
      <c r="G712" s="1" t="s">
        <v>96</v>
      </c>
      <c r="H712" s="1"/>
      <c r="I712" s="1"/>
    </row>
    <row r="713" spans="3:9" x14ac:dyDescent="0.25">
      <c r="C713" s="1">
        <v>8000860</v>
      </c>
      <c r="D713" s="1">
        <v>1531</v>
      </c>
      <c r="E713" s="1" t="s">
        <v>712</v>
      </c>
      <c r="F713" s="1">
        <v>480</v>
      </c>
      <c r="G713" s="1" t="s">
        <v>96</v>
      </c>
      <c r="H713" s="1"/>
      <c r="I713" s="1"/>
    </row>
    <row r="714" spans="3:9" x14ac:dyDescent="0.25">
      <c r="C714" s="1">
        <v>8000861</v>
      </c>
      <c r="D714" s="1">
        <v>1531</v>
      </c>
      <c r="E714" s="1" t="s">
        <v>713</v>
      </c>
      <c r="F714" s="1">
        <v>0</v>
      </c>
      <c r="G714" s="1" t="s">
        <v>96</v>
      </c>
      <c r="H714" s="1"/>
      <c r="I714" s="1"/>
    </row>
    <row r="715" spans="3:9" x14ac:dyDescent="0.25">
      <c r="C715" s="1">
        <v>8000875</v>
      </c>
      <c r="D715" s="1">
        <v>1531</v>
      </c>
      <c r="E715" s="1" t="s">
        <v>714</v>
      </c>
      <c r="F715" s="1">
        <v>0</v>
      </c>
      <c r="G715" s="1" t="s">
        <v>96</v>
      </c>
      <c r="H715" s="1"/>
      <c r="I715" s="1"/>
    </row>
    <row r="716" spans="3:9" x14ac:dyDescent="0.25">
      <c r="C716" s="1">
        <v>8000876</v>
      </c>
      <c r="D716" s="1">
        <v>1531</v>
      </c>
      <c r="E716" s="1" t="s">
        <v>715</v>
      </c>
      <c r="F716" s="1">
        <v>0</v>
      </c>
      <c r="G716" s="1" t="s">
        <v>96</v>
      </c>
      <c r="H716" s="1"/>
      <c r="I716" s="1"/>
    </row>
    <row r="717" spans="3:9" x14ac:dyDescent="0.25">
      <c r="C717" s="1">
        <v>8000878</v>
      </c>
      <c r="D717" s="1">
        <v>1531</v>
      </c>
      <c r="E717" s="1" t="s">
        <v>716</v>
      </c>
      <c r="F717" s="1">
        <v>86</v>
      </c>
      <c r="G717" s="1" t="s">
        <v>96</v>
      </c>
      <c r="H717" s="1"/>
      <c r="I717" s="1"/>
    </row>
    <row r="718" spans="3:9" x14ac:dyDescent="0.25">
      <c r="C718" s="1">
        <v>8000880</v>
      </c>
      <c r="D718" s="1">
        <v>1531</v>
      </c>
      <c r="E718" s="1" t="s">
        <v>717</v>
      </c>
      <c r="F718" s="1">
        <v>0</v>
      </c>
      <c r="G718" s="1" t="s">
        <v>96</v>
      </c>
      <c r="H718" s="1"/>
      <c r="I718" s="1"/>
    </row>
    <row r="719" spans="3:9" x14ac:dyDescent="0.25">
      <c r="C719" s="1">
        <v>8000881</v>
      </c>
      <c r="D719" s="1">
        <v>1531</v>
      </c>
      <c r="E719" s="1" t="s">
        <v>718</v>
      </c>
      <c r="F719" s="1">
        <v>0</v>
      </c>
      <c r="G719" s="1" t="s">
        <v>96</v>
      </c>
      <c r="H719" s="1"/>
      <c r="I719" s="1"/>
    </row>
    <row r="720" spans="3:9" x14ac:dyDescent="0.25">
      <c r="C720" s="1">
        <v>8000882</v>
      </c>
      <c r="D720" s="1">
        <v>1531</v>
      </c>
      <c r="E720" s="1" t="s">
        <v>719</v>
      </c>
      <c r="F720" s="1">
        <v>0</v>
      </c>
      <c r="G720" s="1" t="s">
        <v>96</v>
      </c>
      <c r="H720" s="1"/>
      <c r="I720" s="1"/>
    </row>
    <row r="721" spans="3:9" x14ac:dyDescent="0.25">
      <c r="C721" s="1">
        <v>8000883</v>
      </c>
      <c r="D721" s="1">
        <v>1531</v>
      </c>
      <c r="E721" s="1" t="s">
        <v>720</v>
      </c>
      <c r="F721" s="1">
        <v>0</v>
      </c>
      <c r="G721" s="1" t="s">
        <v>96</v>
      </c>
      <c r="H721" s="1"/>
      <c r="I721" s="1"/>
    </row>
    <row r="722" spans="3:9" x14ac:dyDescent="0.25">
      <c r="C722" s="1">
        <v>8000884</v>
      </c>
      <c r="D722" s="1">
        <v>1531</v>
      </c>
      <c r="E722" s="1" t="s">
        <v>721</v>
      </c>
      <c r="F722" s="1">
        <v>0</v>
      </c>
      <c r="G722" s="1" t="s">
        <v>96</v>
      </c>
      <c r="H722" s="1"/>
      <c r="I722" s="1"/>
    </row>
    <row r="723" spans="3:9" x14ac:dyDescent="0.25">
      <c r="C723" s="1">
        <v>8000885</v>
      </c>
      <c r="D723" s="1">
        <v>1531</v>
      </c>
      <c r="E723" s="1" t="s">
        <v>722</v>
      </c>
      <c r="F723" s="1">
        <v>0</v>
      </c>
      <c r="G723" s="1" t="s">
        <v>96</v>
      </c>
      <c r="H723" s="1"/>
      <c r="I723" s="1"/>
    </row>
    <row r="724" spans="3:9" x14ac:dyDescent="0.25">
      <c r="C724" s="1">
        <v>8000888</v>
      </c>
      <c r="D724" s="1">
        <v>1531</v>
      </c>
      <c r="E724" s="1" t="s">
        <v>723</v>
      </c>
      <c r="F724" s="1">
        <v>0</v>
      </c>
      <c r="G724" s="1" t="s">
        <v>96</v>
      </c>
      <c r="H724" s="1"/>
      <c r="I724" s="1"/>
    </row>
    <row r="725" spans="3:9" x14ac:dyDescent="0.25">
      <c r="C725" s="1">
        <v>8000889</v>
      </c>
      <c r="D725" s="1">
        <v>1531</v>
      </c>
      <c r="E725" s="1" t="s">
        <v>724</v>
      </c>
      <c r="F725" s="1">
        <v>0</v>
      </c>
      <c r="G725" s="1" t="s">
        <v>96</v>
      </c>
      <c r="H725" s="1"/>
      <c r="I725" s="1"/>
    </row>
    <row r="726" spans="3:9" x14ac:dyDescent="0.25">
      <c r="C726" s="1">
        <v>8000890</v>
      </c>
      <c r="D726" s="1">
        <v>1531</v>
      </c>
      <c r="E726" s="1" t="s">
        <v>725</v>
      </c>
      <c r="F726" s="1">
        <v>0</v>
      </c>
      <c r="G726" s="1" t="s">
        <v>96</v>
      </c>
      <c r="H726" s="1"/>
      <c r="I726" s="1"/>
    </row>
    <row r="727" spans="3:9" x14ac:dyDescent="0.25">
      <c r="C727" s="1">
        <v>8000891</v>
      </c>
      <c r="D727" s="1">
        <v>1531</v>
      </c>
      <c r="E727" s="1" t="s">
        <v>726</v>
      </c>
      <c r="F727" s="1">
        <v>0</v>
      </c>
      <c r="G727" s="1" t="s">
        <v>96</v>
      </c>
      <c r="H727" s="1"/>
      <c r="I727" s="1"/>
    </row>
    <row r="728" spans="3:9" x14ac:dyDescent="0.25">
      <c r="C728" s="1">
        <v>8000892</v>
      </c>
      <c r="D728" s="1">
        <v>1531</v>
      </c>
      <c r="E728" s="1" t="s">
        <v>727</v>
      </c>
      <c r="F728" s="1">
        <v>0</v>
      </c>
      <c r="G728" s="1" t="s">
        <v>96</v>
      </c>
      <c r="H728" s="1"/>
      <c r="I728" s="1"/>
    </row>
    <row r="729" spans="3:9" x14ac:dyDescent="0.25">
      <c r="C729" s="1">
        <v>8000894</v>
      </c>
      <c r="D729" s="1">
        <v>1531</v>
      </c>
      <c r="E729" s="1" t="s">
        <v>728</v>
      </c>
      <c r="F729" s="1">
        <v>0</v>
      </c>
      <c r="G729" s="1" t="s">
        <v>96</v>
      </c>
      <c r="H729" s="1"/>
      <c r="I729" s="1"/>
    </row>
    <row r="730" spans="3:9" x14ac:dyDescent="0.25">
      <c r="C730" s="1">
        <v>8000895</v>
      </c>
      <c r="D730" s="1">
        <v>1531</v>
      </c>
      <c r="E730" s="1" t="s">
        <v>729</v>
      </c>
      <c r="F730" s="1">
        <v>0</v>
      </c>
      <c r="G730" s="1" t="s">
        <v>96</v>
      </c>
      <c r="H730" s="1"/>
      <c r="I730" s="1"/>
    </row>
    <row r="731" spans="3:9" x14ac:dyDescent="0.25">
      <c r="C731" s="1">
        <v>8000896</v>
      </c>
      <c r="D731" s="1">
        <v>1531</v>
      </c>
      <c r="E731" s="1" t="s">
        <v>730</v>
      </c>
      <c r="F731" s="1">
        <v>0</v>
      </c>
      <c r="G731" s="1" t="s">
        <v>96</v>
      </c>
      <c r="H731" s="1"/>
      <c r="I731" s="1"/>
    </row>
    <row r="732" spans="3:9" x14ac:dyDescent="0.25">
      <c r="C732" s="1">
        <v>8000897</v>
      </c>
      <c r="D732" s="1">
        <v>1531</v>
      </c>
      <c r="E732" s="1" t="s">
        <v>731</v>
      </c>
      <c r="F732" s="1">
        <v>0</v>
      </c>
      <c r="G732" s="1" t="s">
        <v>96</v>
      </c>
      <c r="H732" s="1"/>
      <c r="I732" s="1"/>
    </row>
    <row r="733" spans="3:9" x14ac:dyDescent="0.25">
      <c r="C733" s="1">
        <v>8000898</v>
      </c>
      <c r="D733" s="1">
        <v>1531</v>
      </c>
      <c r="E733" s="1" t="s">
        <v>732</v>
      </c>
      <c r="F733" s="1">
        <v>0</v>
      </c>
      <c r="G733" s="1" t="s">
        <v>96</v>
      </c>
      <c r="H733" s="1"/>
      <c r="I733" s="1"/>
    </row>
    <row r="734" spans="3:9" x14ac:dyDescent="0.25">
      <c r="C734" s="1">
        <v>8000899</v>
      </c>
      <c r="D734" s="1">
        <v>1531</v>
      </c>
      <c r="E734" s="1" t="s">
        <v>733</v>
      </c>
      <c r="F734" s="1">
        <v>0</v>
      </c>
      <c r="G734" s="1" t="s">
        <v>96</v>
      </c>
      <c r="H734" s="1"/>
      <c r="I734" s="1"/>
    </row>
    <row r="735" spans="3:9" x14ac:dyDescent="0.25">
      <c r="C735" s="1">
        <v>8000901</v>
      </c>
      <c r="D735" s="1">
        <v>1531</v>
      </c>
      <c r="E735" s="1" t="s">
        <v>734</v>
      </c>
      <c r="F735" s="1">
        <v>0</v>
      </c>
      <c r="G735" s="1" t="s">
        <v>96</v>
      </c>
      <c r="H735" s="1"/>
      <c r="I735" s="1"/>
    </row>
    <row r="736" spans="3:9" x14ac:dyDescent="0.25">
      <c r="C736" s="1">
        <v>8000902</v>
      </c>
      <c r="D736" s="1">
        <v>1531</v>
      </c>
      <c r="E736" s="1" t="s">
        <v>735</v>
      </c>
      <c r="F736" s="1">
        <v>0</v>
      </c>
      <c r="G736" s="1" t="s">
        <v>96</v>
      </c>
      <c r="H736" s="1"/>
      <c r="I736" s="1"/>
    </row>
    <row r="737" spans="3:9" x14ac:dyDescent="0.25">
      <c r="C737" s="1">
        <v>8000903</v>
      </c>
      <c r="D737" s="1">
        <v>1531</v>
      </c>
      <c r="E737" s="1" t="s">
        <v>736</v>
      </c>
      <c r="F737" s="1">
        <v>0</v>
      </c>
      <c r="G737" s="1" t="s">
        <v>96</v>
      </c>
      <c r="H737" s="1"/>
      <c r="I737" s="1"/>
    </row>
    <row r="738" spans="3:9" x14ac:dyDescent="0.25">
      <c r="C738" s="1">
        <v>8000905</v>
      </c>
      <c r="D738" s="1">
        <v>1531</v>
      </c>
      <c r="E738" s="1" t="s">
        <v>722</v>
      </c>
      <c r="F738" s="1">
        <v>0</v>
      </c>
      <c r="G738" s="1" t="s">
        <v>96</v>
      </c>
      <c r="H738" s="1"/>
      <c r="I738" s="1"/>
    </row>
    <row r="739" spans="3:9" x14ac:dyDescent="0.25">
      <c r="C739" s="1">
        <v>8000907</v>
      </c>
      <c r="D739" s="1">
        <v>1531</v>
      </c>
      <c r="E739" s="1" t="s">
        <v>737</v>
      </c>
      <c r="F739" s="1">
        <v>0</v>
      </c>
      <c r="G739" s="1" t="s">
        <v>96</v>
      </c>
      <c r="H739" s="1"/>
      <c r="I739" s="1"/>
    </row>
    <row r="740" spans="3:9" x14ac:dyDescent="0.25">
      <c r="C740" s="1">
        <v>8000908</v>
      </c>
      <c r="D740" s="1">
        <v>1531</v>
      </c>
      <c r="E740" s="1" t="s">
        <v>738</v>
      </c>
      <c r="F740" s="1">
        <v>0</v>
      </c>
      <c r="G740" s="1" t="s">
        <v>96</v>
      </c>
      <c r="H740" s="1"/>
      <c r="I740" s="1"/>
    </row>
    <row r="741" spans="3:9" x14ac:dyDescent="0.25">
      <c r="C741" s="1">
        <v>8000909</v>
      </c>
      <c r="D741" s="1">
        <v>1531</v>
      </c>
      <c r="E741" s="1" t="s">
        <v>739</v>
      </c>
      <c r="F741" s="1">
        <v>0</v>
      </c>
      <c r="G741" s="1" t="s">
        <v>96</v>
      </c>
      <c r="H741" s="1"/>
      <c r="I741" s="1"/>
    </row>
    <row r="742" spans="3:9" x14ac:dyDescent="0.25">
      <c r="C742" s="1">
        <v>8000911</v>
      </c>
      <c r="D742" s="1">
        <v>1531</v>
      </c>
      <c r="E742" s="1" t="s">
        <v>740</v>
      </c>
      <c r="F742" s="1">
        <v>0</v>
      </c>
      <c r="G742" s="1" t="s">
        <v>8</v>
      </c>
      <c r="H742" s="1"/>
      <c r="I742" s="1"/>
    </row>
    <row r="743" spans="3:9" x14ac:dyDescent="0.25">
      <c r="C743" s="1">
        <v>8000915</v>
      </c>
      <c r="D743" s="1">
        <v>1531</v>
      </c>
      <c r="E743" s="1" t="s">
        <v>741</v>
      </c>
      <c r="F743" s="1">
        <v>0</v>
      </c>
      <c r="G743" s="1" t="s">
        <v>96</v>
      </c>
      <c r="H743" s="1"/>
      <c r="I743" s="1"/>
    </row>
    <row r="744" spans="3:9" x14ac:dyDescent="0.25">
      <c r="C744" s="1">
        <v>8000916</v>
      </c>
      <c r="D744" s="1">
        <v>1531</v>
      </c>
      <c r="E744" s="1" t="s">
        <v>742</v>
      </c>
      <c r="F744" s="1">
        <v>313</v>
      </c>
      <c r="G744" s="1" t="s">
        <v>96</v>
      </c>
      <c r="H744" s="1"/>
      <c r="I744" s="1"/>
    </row>
    <row r="745" spans="3:9" x14ac:dyDescent="0.25">
      <c r="C745" s="1">
        <v>8000919</v>
      </c>
      <c r="D745" s="1">
        <v>1531</v>
      </c>
      <c r="E745" s="1" t="s">
        <v>743</v>
      </c>
      <c r="F745" s="1">
        <v>0</v>
      </c>
      <c r="G745" s="1" t="s">
        <v>96</v>
      </c>
      <c r="H745" s="1"/>
      <c r="I745" s="1"/>
    </row>
    <row r="746" spans="3:9" x14ac:dyDescent="0.25">
      <c r="C746" s="1">
        <v>8000920</v>
      </c>
      <c r="D746" s="1">
        <v>1531</v>
      </c>
      <c r="E746" s="1" t="s">
        <v>744</v>
      </c>
      <c r="F746" s="1">
        <v>0</v>
      </c>
      <c r="G746" s="1" t="s">
        <v>96</v>
      </c>
      <c r="H746" s="1"/>
      <c r="I746" s="1"/>
    </row>
    <row r="747" spans="3:9" x14ac:dyDescent="0.25">
      <c r="C747" s="1">
        <v>8000940</v>
      </c>
      <c r="D747" s="1">
        <v>1531</v>
      </c>
      <c r="E747" s="1" t="s">
        <v>745</v>
      </c>
      <c r="F747" s="1">
        <v>0</v>
      </c>
      <c r="G747" s="1" t="s">
        <v>8</v>
      </c>
      <c r="H747" s="1"/>
      <c r="I747" s="1"/>
    </row>
    <row r="748" spans="3:9" x14ac:dyDescent="0.25">
      <c r="C748" s="1">
        <v>8000947</v>
      </c>
      <c r="D748" s="1">
        <v>1531</v>
      </c>
      <c r="E748" s="1" t="s">
        <v>746</v>
      </c>
      <c r="F748" s="1">
        <v>0</v>
      </c>
      <c r="G748" s="1" t="s">
        <v>8</v>
      </c>
      <c r="H748" s="1"/>
      <c r="I748" s="1"/>
    </row>
    <row r="749" spans="3:9" x14ac:dyDescent="0.25">
      <c r="C749" s="1">
        <v>8000954</v>
      </c>
      <c r="D749" s="1">
        <v>1531</v>
      </c>
      <c r="E749" s="1" t="s">
        <v>747</v>
      </c>
      <c r="F749" s="1">
        <v>0</v>
      </c>
      <c r="G749" s="1" t="s">
        <v>8</v>
      </c>
      <c r="H749" s="1"/>
      <c r="I749" s="1"/>
    </row>
    <row r="750" spans="3:9" x14ac:dyDescent="0.25">
      <c r="C750" s="1">
        <v>8000955</v>
      </c>
      <c r="D750" s="1">
        <v>1531</v>
      </c>
      <c r="E750" s="1" t="s">
        <v>748</v>
      </c>
      <c r="F750" s="1">
        <v>0</v>
      </c>
      <c r="G750" s="1" t="s">
        <v>8</v>
      </c>
      <c r="H750" s="1"/>
      <c r="I750" s="1"/>
    </row>
    <row r="751" spans="3:9" x14ac:dyDescent="0.25">
      <c r="C751" s="1">
        <v>8000956</v>
      </c>
      <c r="D751" s="1">
        <v>1531</v>
      </c>
      <c r="E751" s="1" t="s">
        <v>749</v>
      </c>
      <c r="F751" s="1">
        <v>0</v>
      </c>
      <c r="G751" s="1" t="s">
        <v>8</v>
      </c>
      <c r="H751" s="1"/>
      <c r="I751" s="1"/>
    </row>
    <row r="752" spans="3:9" x14ac:dyDescent="0.25">
      <c r="C752" s="1">
        <v>8000960</v>
      </c>
      <c r="D752" s="1">
        <v>1531</v>
      </c>
      <c r="E752" s="1" t="s">
        <v>750</v>
      </c>
      <c r="F752" s="1">
        <v>0</v>
      </c>
      <c r="G752" s="1" t="s">
        <v>8</v>
      </c>
      <c r="H752" s="1"/>
      <c r="I752" s="1"/>
    </row>
    <row r="753" spans="3:9" x14ac:dyDescent="0.25">
      <c r="C753" s="1">
        <v>8000965</v>
      </c>
      <c r="D753" s="1">
        <v>1531</v>
      </c>
      <c r="E753" s="1" t="s">
        <v>751</v>
      </c>
      <c r="F753" s="1">
        <v>0</v>
      </c>
      <c r="G753" s="1" t="s">
        <v>8</v>
      </c>
      <c r="H753" s="1"/>
      <c r="I753" s="1"/>
    </row>
    <row r="754" spans="3:9" x14ac:dyDescent="0.25">
      <c r="C754" s="1">
        <v>8000968</v>
      </c>
      <c r="D754" s="1">
        <v>1531</v>
      </c>
      <c r="E754" s="1" t="s">
        <v>752</v>
      </c>
      <c r="F754" s="1">
        <v>0</v>
      </c>
      <c r="G754" s="1" t="s">
        <v>8</v>
      </c>
      <c r="H754" s="1"/>
      <c r="I754" s="1"/>
    </row>
    <row r="755" spans="3:9" x14ac:dyDescent="0.25">
      <c r="C755" s="1">
        <v>8000998</v>
      </c>
      <c r="D755" s="1">
        <v>1531</v>
      </c>
      <c r="E755" s="1" t="s">
        <v>753</v>
      </c>
      <c r="F755" s="1">
        <v>0</v>
      </c>
      <c r="G755" s="1" t="s">
        <v>8</v>
      </c>
      <c r="H755" s="1"/>
      <c r="I755" s="1"/>
    </row>
    <row r="756" spans="3:9" x14ac:dyDescent="0.25">
      <c r="C756" s="1">
        <v>8001004</v>
      </c>
      <c r="D756" s="1">
        <v>1531</v>
      </c>
      <c r="E756" s="1" t="s">
        <v>754</v>
      </c>
      <c r="F756" s="1">
        <v>0</v>
      </c>
      <c r="G756" s="1" t="s">
        <v>8</v>
      </c>
      <c r="H756" s="1"/>
      <c r="I756" s="1"/>
    </row>
    <row r="757" spans="3:9" x14ac:dyDescent="0.25">
      <c r="C757" s="1">
        <v>8001008</v>
      </c>
      <c r="D757" s="1">
        <v>1531</v>
      </c>
      <c r="E757" s="1" t="s">
        <v>755</v>
      </c>
      <c r="F757" s="1">
        <v>0</v>
      </c>
      <c r="G757" s="1" t="s">
        <v>8</v>
      </c>
      <c r="H757" s="1"/>
      <c r="I757" s="1"/>
    </row>
    <row r="758" spans="3:9" x14ac:dyDescent="0.25">
      <c r="C758" s="1">
        <v>8001017</v>
      </c>
      <c r="D758" s="1">
        <v>1531</v>
      </c>
      <c r="E758" s="1" t="s">
        <v>756</v>
      </c>
      <c r="F758" s="1">
        <v>0</v>
      </c>
      <c r="G758" s="1" t="s">
        <v>8</v>
      </c>
      <c r="H758" s="1"/>
      <c r="I758" s="1"/>
    </row>
    <row r="759" spans="3:9" x14ac:dyDescent="0.25">
      <c r="C759" s="1">
        <v>8001018</v>
      </c>
      <c r="D759" s="1">
        <v>1531</v>
      </c>
      <c r="E759" s="1" t="s">
        <v>757</v>
      </c>
      <c r="F759" s="1">
        <v>0</v>
      </c>
      <c r="G759" s="1" t="s">
        <v>8</v>
      </c>
      <c r="H759" s="1"/>
      <c r="I759" s="1"/>
    </row>
    <row r="760" spans="3:9" x14ac:dyDescent="0.25">
      <c r="C760" s="1">
        <v>8001021</v>
      </c>
      <c r="D760" s="1">
        <v>1531</v>
      </c>
      <c r="E760" s="1" t="s">
        <v>758</v>
      </c>
      <c r="F760" s="1">
        <v>0</v>
      </c>
      <c r="G760" s="1" t="s">
        <v>8</v>
      </c>
      <c r="H760" s="1"/>
      <c r="I760" s="1"/>
    </row>
    <row r="761" spans="3:9" x14ac:dyDescent="0.25">
      <c r="C761" s="1">
        <v>8001022</v>
      </c>
      <c r="D761" s="1">
        <v>1531</v>
      </c>
      <c r="E761" s="1" t="s">
        <v>759</v>
      </c>
      <c r="F761" s="1">
        <v>0</v>
      </c>
      <c r="G761" s="1" t="s">
        <v>8</v>
      </c>
      <c r="H761" s="1"/>
      <c r="I761" s="1"/>
    </row>
    <row r="762" spans="3:9" x14ac:dyDescent="0.25">
      <c r="C762" s="1">
        <v>8001025</v>
      </c>
      <c r="D762" s="1">
        <v>1531</v>
      </c>
      <c r="E762" s="1" t="s">
        <v>760</v>
      </c>
      <c r="F762" s="1">
        <v>0</v>
      </c>
      <c r="G762" s="1" t="s">
        <v>8</v>
      </c>
      <c r="H762" s="1"/>
      <c r="I762" s="1"/>
    </row>
    <row r="763" spans="3:9" x14ac:dyDescent="0.25">
      <c r="C763" s="1">
        <v>8001026</v>
      </c>
      <c r="D763" s="1">
        <v>1531</v>
      </c>
      <c r="E763" s="1" t="s">
        <v>761</v>
      </c>
      <c r="F763" s="1">
        <v>0</v>
      </c>
      <c r="G763" s="1" t="s">
        <v>8</v>
      </c>
      <c r="H763" s="1"/>
      <c r="I763" s="1"/>
    </row>
    <row r="764" spans="3:9" x14ac:dyDescent="0.25">
      <c r="C764" s="1">
        <v>8001039</v>
      </c>
      <c r="D764" s="1">
        <v>1531</v>
      </c>
      <c r="E764" s="1" t="s">
        <v>762</v>
      </c>
      <c r="F764" s="1">
        <v>0</v>
      </c>
      <c r="G764" s="1" t="s">
        <v>8</v>
      </c>
      <c r="H764" s="1"/>
      <c r="I764" s="1"/>
    </row>
    <row r="765" spans="3:9" x14ac:dyDescent="0.25">
      <c r="C765" s="1">
        <v>8001042</v>
      </c>
      <c r="D765" s="1">
        <v>1531</v>
      </c>
      <c r="E765" s="1" t="s">
        <v>763</v>
      </c>
      <c r="F765" s="1">
        <v>0</v>
      </c>
      <c r="G765" s="1" t="s">
        <v>8</v>
      </c>
      <c r="H765" s="1"/>
      <c r="I765" s="1"/>
    </row>
    <row r="766" spans="3:9" x14ac:dyDescent="0.25">
      <c r="C766" s="1">
        <v>8001044</v>
      </c>
      <c r="D766" s="1">
        <v>1531</v>
      </c>
      <c r="E766" s="1" t="s">
        <v>764</v>
      </c>
      <c r="F766" s="1">
        <v>0</v>
      </c>
      <c r="G766" s="1" t="s">
        <v>8</v>
      </c>
      <c r="H766" s="1"/>
      <c r="I766" s="1"/>
    </row>
    <row r="767" spans="3:9" x14ac:dyDescent="0.25">
      <c r="C767" s="1">
        <v>8001045</v>
      </c>
      <c r="D767" s="1">
        <v>1531</v>
      </c>
      <c r="E767" s="1" t="s">
        <v>765</v>
      </c>
      <c r="F767" s="1">
        <v>0</v>
      </c>
      <c r="G767" s="1" t="s">
        <v>8</v>
      </c>
      <c r="H767" s="1"/>
      <c r="I767" s="1"/>
    </row>
    <row r="768" spans="3:9" x14ac:dyDescent="0.25">
      <c r="C768" s="1">
        <v>8001046</v>
      </c>
      <c r="D768" s="1">
        <v>1531</v>
      </c>
      <c r="E768" s="1" t="s">
        <v>766</v>
      </c>
      <c r="F768" s="1">
        <v>0</v>
      </c>
      <c r="G768" s="1" t="s">
        <v>8</v>
      </c>
      <c r="H768" s="1"/>
      <c r="I768" s="1"/>
    </row>
    <row r="769" spans="3:9" x14ac:dyDescent="0.25">
      <c r="C769" s="1">
        <v>8001048</v>
      </c>
      <c r="D769" s="1">
        <v>1531</v>
      </c>
      <c r="E769" s="1" t="s">
        <v>767</v>
      </c>
      <c r="F769" s="1">
        <v>0</v>
      </c>
      <c r="G769" s="1" t="s">
        <v>8</v>
      </c>
      <c r="H769" s="1"/>
      <c r="I769" s="1"/>
    </row>
    <row r="770" spans="3:9" x14ac:dyDescent="0.25">
      <c r="C770" s="1">
        <v>8001049</v>
      </c>
      <c r="D770" s="1">
        <v>1531</v>
      </c>
      <c r="E770" s="1" t="s">
        <v>768</v>
      </c>
      <c r="F770" s="1">
        <v>0</v>
      </c>
      <c r="G770" s="1" t="s">
        <v>8</v>
      </c>
      <c r="H770" s="1"/>
      <c r="I770" s="1"/>
    </row>
    <row r="771" spans="3:9" x14ac:dyDescent="0.25">
      <c r="C771" s="1">
        <v>8001050</v>
      </c>
      <c r="D771" s="1">
        <v>1531</v>
      </c>
      <c r="E771" s="1" t="s">
        <v>769</v>
      </c>
      <c r="F771" s="1">
        <v>0</v>
      </c>
      <c r="G771" s="1" t="s">
        <v>8</v>
      </c>
      <c r="H771" s="1"/>
      <c r="I771" s="1"/>
    </row>
    <row r="772" spans="3:9" x14ac:dyDescent="0.25">
      <c r="C772" s="1">
        <v>8001051</v>
      </c>
      <c r="D772" s="1">
        <v>1531</v>
      </c>
      <c r="E772" s="1" t="s">
        <v>770</v>
      </c>
      <c r="F772" s="1">
        <v>0</v>
      </c>
      <c r="G772" s="1" t="s">
        <v>8</v>
      </c>
      <c r="H772" s="1"/>
      <c r="I772" s="1"/>
    </row>
    <row r="773" spans="3:9" x14ac:dyDescent="0.25">
      <c r="C773" s="1">
        <v>8001054</v>
      </c>
      <c r="D773" s="1">
        <v>1531</v>
      </c>
      <c r="E773" s="1" t="s">
        <v>771</v>
      </c>
      <c r="F773" s="1">
        <v>2028</v>
      </c>
      <c r="G773" s="1" t="s">
        <v>96</v>
      </c>
      <c r="H773" s="1"/>
      <c r="I773" s="1"/>
    </row>
    <row r="774" spans="3:9" x14ac:dyDescent="0.25">
      <c r="C774" s="1">
        <v>8001056</v>
      </c>
      <c r="D774" s="1">
        <v>1531</v>
      </c>
      <c r="E774" s="1" t="s">
        <v>772</v>
      </c>
      <c r="F774" s="1">
        <v>763</v>
      </c>
      <c r="G774" s="1" t="s">
        <v>96</v>
      </c>
      <c r="H774" s="1"/>
      <c r="I774" s="1"/>
    </row>
    <row r="775" spans="3:9" x14ac:dyDescent="0.25">
      <c r="C775" s="1">
        <v>8001058</v>
      </c>
      <c r="D775" s="1">
        <v>1531</v>
      </c>
      <c r="E775" s="1" t="s">
        <v>773</v>
      </c>
      <c r="F775" s="1">
        <v>0</v>
      </c>
      <c r="G775" s="1" t="s">
        <v>13</v>
      </c>
      <c r="H775" s="1"/>
      <c r="I775" s="1"/>
    </row>
    <row r="776" spans="3:9" x14ac:dyDescent="0.25">
      <c r="C776" s="1">
        <v>8001059</v>
      </c>
      <c r="D776" s="1">
        <v>1531</v>
      </c>
      <c r="E776" s="1" t="s">
        <v>774</v>
      </c>
      <c r="F776" s="1">
        <v>10</v>
      </c>
      <c r="G776" s="1" t="s">
        <v>8</v>
      </c>
      <c r="H776" s="1"/>
      <c r="I776" s="1"/>
    </row>
    <row r="777" spans="3:9" x14ac:dyDescent="0.25">
      <c r="C777" s="1">
        <v>8001060</v>
      </c>
      <c r="D777" s="1">
        <v>1531</v>
      </c>
      <c r="E777" s="1" t="s">
        <v>775</v>
      </c>
      <c r="F777" s="1">
        <v>0</v>
      </c>
      <c r="G777" s="1" t="s">
        <v>8</v>
      </c>
      <c r="H777" s="1"/>
      <c r="I777" s="1"/>
    </row>
    <row r="778" spans="3:9" x14ac:dyDescent="0.25">
      <c r="C778" s="1">
        <v>8001061</v>
      </c>
      <c r="D778" s="1">
        <v>1531</v>
      </c>
      <c r="E778" s="1" t="s">
        <v>776</v>
      </c>
      <c r="F778" s="1">
        <v>0</v>
      </c>
      <c r="G778" s="1" t="s">
        <v>8</v>
      </c>
      <c r="H778" s="1"/>
      <c r="I778" s="1"/>
    </row>
    <row r="779" spans="3:9" x14ac:dyDescent="0.25">
      <c r="C779" s="1">
        <v>8001064</v>
      </c>
      <c r="D779" s="1">
        <v>1531</v>
      </c>
      <c r="E779" s="1" t="s">
        <v>777</v>
      </c>
      <c r="F779" s="1">
        <v>0</v>
      </c>
      <c r="G779" s="1" t="s">
        <v>8</v>
      </c>
      <c r="H779" s="1"/>
      <c r="I779" s="1"/>
    </row>
    <row r="780" spans="3:9" x14ac:dyDescent="0.25">
      <c r="C780" s="1">
        <v>8001068</v>
      </c>
      <c r="D780" s="1">
        <v>1531</v>
      </c>
      <c r="E780" s="1" t="s">
        <v>778</v>
      </c>
      <c r="F780" s="1">
        <v>0</v>
      </c>
      <c r="G780" s="1" t="s">
        <v>8</v>
      </c>
      <c r="H780" s="1"/>
      <c r="I780" s="1"/>
    </row>
    <row r="781" spans="3:9" x14ac:dyDescent="0.25">
      <c r="C781" s="1">
        <v>8001069</v>
      </c>
      <c r="D781" s="1">
        <v>1531</v>
      </c>
      <c r="E781" s="1" t="s">
        <v>779</v>
      </c>
      <c r="F781" s="1">
        <v>0</v>
      </c>
      <c r="G781" s="1" t="s">
        <v>8</v>
      </c>
      <c r="H781" s="1"/>
      <c r="I781" s="1"/>
    </row>
    <row r="782" spans="3:9" x14ac:dyDescent="0.25">
      <c r="C782" s="1">
        <v>8001070</v>
      </c>
      <c r="D782" s="1">
        <v>1531</v>
      </c>
      <c r="E782" s="1" t="s">
        <v>780</v>
      </c>
      <c r="F782" s="1">
        <v>0</v>
      </c>
      <c r="G782" s="1" t="s">
        <v>8</v>
      </c>
      <c r="H782" s="1"/>
      <c r="I782" s="1"/>
    </row>
    <row r="783" spans="3:9" x14ac:dyDescent="0.25">
      <c r="C783" s="1">
        <v>8001092</v>
      </c>
      <c r="D783" s="1">
        <v>1531</v>
      </c>
      <c r="E783" s="1" t="s">
        <v>781</v>
      </c>
      <c r="F783" s="1">
        <v>0</v>
      </c>
      <c r="G783" s="1" t="s">
        <v>13</v>
      </c>
      <c r="H783" s="1"/>
      <c r="I783" s="1"/>
    </row>
    <row r="784" spans="3:9" x14ac:dyDescent="0.25">
      <c r="C784" s="1">
        <v>8001093</v>
      </c>
      <c r="D784" s="1">
        <v>1531</v>
      </c>
      <c r="E784" s="1" t="s">
        <v>782</v>
      </c>
      <c r="F784" s="1">
        <v>928</v>
      </c>
      <c r="G784" s="1" t="s">
        <v>96</v>
      </c>
      <c r="H784" s="1"/>
      <c r="I784" s="1"/>
    </row>
    <row r="785" spans="3:9" x14ac:dyDescent="0.25">
      <c r="C785" s="1">
        <v>8001100</v>
      </c>
      <c r="D785" s="1">
        <v>1531</v>
      </c>
      <c r="E785" s="1" t="s">
        <v>783</v>
      </c>
      <c r="F785" s="1">
        <v>0</v>
      </c>
      <c r="G785" s="1" t="s">
        <v>8</v>
      </c>
      <c r="H785" s="1"/>
      <c r="I785" s="1"/>
    </row>
    <row r="786" spans="3:9" x14ac:dyDescent="0.25">
      <c r="C786" s="1">
        <v>8001101</v>
      </c>
      <c r="D786" s="1">
        <v>1531</v>
      </c>
      <c r="E786" s="1" t="s">
        <v>784</v>
      </c>
      <c r="F786" s="1">
        <v>0</v>
      </c>
      <c r="G786" s="1" t="s">
        <v>8</v>
      </c>
      <c r="H786" s="1"/>
      <c r="I786" s="1"/>
    </row>
    <row r="787" spans="3:9" x14ac:dyDescent="0.25">
      <c r="C787" s="1">
        <v>8001114</v>
      </c>
      <c r="D787" s="1">
        <v>1531</v>
      </c>
      <c r="E787" s="1" t="s">
        <v>785</v>
      </c>
      <c r="F787" s="1">
        <v>0</v>
      </c>
      <c r="G787" s="1" t="s">
        <v>8</v>
      </c>
      <c r="H787" s="1"/>
      <c r="I787" s="1"/>
    </row>
    <row r="788" spans="3:9" x14ac:dyDescent="0.25">
      <c r="C788" s="1">
        <v>8001115</v>
      </c>
      <c r="D788" s="1">
        <v>1531</v>
      </c>
      <c r="E788" s="1" t="s">
        <v>786</v>
      </c>
      <c r="F788" s="1">
        <v>0</v>
      </c>
      <c r="G788" s="1" t="s">
        <v>8</v>
      </c>
      <c r="H788" s="1"/>
      <c r="I788" s="1"/>
    </row>
    <row r="789" spans="3:9" x14ac:dyDescent="0.25">
      <c r="C789" s="1">
        <v>8001116</v>
      </c>
      <c r="D789" s="1">
        <v>1531</v>
      </c>
      <c r="E789" s="1" t="s">
        <v>787</v>
      </c>
      <c r="F789" s="1">
        <v>0</v>
      </c>
      <c r="G789" s="1" t="s">
        <v>8</v>
      </c>
      <c r="H789" s="1"/>
      <c r="I789" s="1"/>
    </row>
    <row r="790" spans="3:9" x14ac:dyDescent="0.25">
      <c r="C790" s="1">
        <v>8001117</v>
      </c>
      <c r="D790" s="1">
        <v>1531</v>
      </c>
      <c r="E790" s="1" t="s">
        <v>788</v>
      </c>
      <c r="F790" s="1">
        <v>0</v>
      </c>
      <c r="G790" s="1" t="s">
        <v>8</v>
      </c>
      <c r="H790" s="1"/>
      <c r="I790" s="1"/>
    </row>
    <row r="791" spans="3:9" x14ac:dyDescent="0.25">
      <c r="C791" s="1">
        <v>8001118</v>
      </c>
      <c r="D791" s="1">
        <v>1531</v>
      </c>
      <c r="E791" s="1" t="s">
        <v>789</v>
      </c>
      <c r="F791" s="1">
        <v>0</v>
      </c>
      <c r="G791" s="1" t="s">
        <v>96</v>
      </c>
      <c r="H791" s="1"/>
      <c r="I791" s="1"/>
    </row>
    <row r="792" spans="3:9" x14ac:dyDescent="0.25">
      <c r="C792" s="1">
        <v>8001119</v>
      </c>
      <c r="D792" s="1">
        <v>1531</v>
      </c>
      <c r="E792" s="1" t="s">
        <v>790</v>
      </c>
      <c r="F792" s="1">
        <v>0</v>
      </c>
      <c r="G792" s="1" t="s">
        <v>96</v>
      </c>
      <c r="H792" s="1"/>
      <c r="I792" s="1"/>
    </row>
    <row r="793" spans="3:9" x14ac:dyDescent="0.25">
      <c r="C793" s="1">
        <v>8001132</v>
      </c>
      <c r="D793" s="1">
        <v>1531</v>
      </c>
      <c r="E793" s="1" t="s">
        <v>791</v>
      </c>
      <c r="F793" s="1">
        <v>0</v>
      </c>
      <c r="G793" s="1" t="s">
        <v>8</v>
      </c>
      <c r="H793" s="1"/>
      <c r="I793" s="1"/>
    </row>
    <row r="794" spans="3:9" x14ac:dyDescent="0.25">
      <c r="C794" s="1">
        <v>8001134</v>
      </c>
      <c r="D794" s="1">
        <v>1531</v>
      </c>
      <c r="E794" s="1" t="s">
        <v>792</v>
      </c>
      <c r="F794" s="1">
        <v>0</v>
      </c>
      <c r="G794" s="1" t="s">
        <v>8</v>
      </c>
      <c r="H794" s="1"/>
      <c r="I794" s="1"/>
    </row>
    <row r="795" spans="3:9" x14ac:dyDescent="0.25">
      <c r="C795" s="1">
        <v>8001146</v>
      </c>
      <c r="D795" s="1">
        <v>1531</v>
      </c>
      <c r="E795" s="1" t="s">
        <v>793</v>
      </c>
      <c r="F795" s="1">
        <v>0</v>
      </c>
      <c r="G795" s="1" t="s">
        <v>8</v>
      </c>
      <c r="H795" s="1"/>
      <c r="I795" s="1"/>
    </row>
    <row r="796" spans="3:9" x14ac:dyDescent="0.25">
      <c r="C796" s="1">
        <v>8001147</v>
      </c>
      <c r="D796" s="1">
        <v>1531</v>
      </c>
      <c r="E796" s="1" t="s">
        <v>794</v>
      </c>
      <c r="F796" s="1">
        <v>0</v>
      </c>
      <c r="G796" s="1" t="s">
        <v>8</v>
      </c>
      <c r="H796" s="1"/>
      <c r="I796" s="1"/>
    </row>
    <row r="797" spans="3:9" x14ac:dyDescent="0.25">
      <c r="C797" s="1">
        <v>8001149</v>
      </c>
      <c r="D797" s="1">
        <v>1531</v>
      </c>
      <c r="E797" s="1" t="s">
        <v>795</v>
      </c>
      <c r="F797" s="1">
        <v>0</v>
      </c>
      <c r="G797" s="1" t="s">
        <v>8</v>
      </c>
      <c r="H797" s="1"/>
      <c r="I797" s="1"/>
    </row>
    <row r="798" spans="3:9" x14ac:dyDescent="0.25">
      <c r="C798" s="1">
        <v>8001151</v>
      </c>
      <c r="D798" s="1">
        <v>1531</v>
      </c>
      <c r="E798" s="1" t="s">
        <v>796</v>
      </c>
      <c r="F798" s="1">
        <v>0</v>
      </c>
      <c r="G798" s="1" t="s">
        <v>8</v>
      </c>
      <c r="H798" s="1"/>
      <c r="I798" s="1"/>
    </row>
    <row r="799" spans="3:9" x14ac:dyDescent="0.25">
      <c r="C799" s="1">
        <v>8001158</v>
      </c>
      <c r="D799" s="1">
        <v>1531</v>
      </c>
      <c r="E799" s="1" t="s">
        <v>797</v>
      </c>
      <c r="F799" s="1">
        <v>0</v>
      </c>
      <c r="G799" s="1" t="s">
        <v>8</v>
      </c>
      <c r="H799" s="1"/>
      <c r="I799" s="1"/>
    </row>
    <row r="800" spans="3:9" x14ac:dyDescent="0.25">
      <c r="C800" s="1">
        <v>8001159</v>
      </c>
      <c r="D800" s="1">
        <v>1531</v>
      </c>
      <c r="E800" s="1" t="s">
        <v>798</v>
      </c>
      <c r="F800" s="1">
        <v>0</v>
      </c>
      <c r="G800" s="1" t="s">
        <v>8</v>
      </c>
      <c r="H800" s="1"/>
      <c r="I800" s="1"/>
    </row>
    <row r="801" spans="3:9" x14ac:dyDescent="0.25">
      <c r="C801" s="1">
        <v>8001161</v>
      </c>
      <c r="D801" s="1">
        <v>1531</v>
      </c>
      <c r="E801" s="1" t="s">
        <v>799</v>
      </c>
      <c r="F801" s="1">
        <v>0</v>
      </c>
      <c r="G801" s="1" t="s">
        <v>96</v>
      </c>
      <c r="H801" s="1"/>
      <c r="I801" s="1"/>
    </row>
    <row r="802" spans="3:9" x14ac:dyDescent="0.25">
      <c r="C802" s="1">
        <v>8001178</v>
      </c>
      <c r="D802" s="1">
        <v>1531</v>
      </c>
      <c r="E802" s="1" t="s">
        <v>800</v>
      </c>
      <c r="F802" s="1">
        <v>0</v>
      </c>
      <c r="G802" s="1" t="s">
        <v>8</v>
      </c>
      <c r="H802" s="1"/>
      <c r="I802" s="1"/>
    </row>
    <row r="803" spans="3:9" x14ac:dyDescent="0.25">
      <c r="C803" s="1">
        <v>8001181</v>
      </c>
      <c r="D803" s="1">
        <v>1531</v>
      </c>
      <c r="E803" s="1" t="s">
        <v>801</v>
      </c>
      <c r="F803" s="1">
        <v>0</v>
      </c>
      <c r="G803" s="1" t="s">
        <v>8</v>
      </c>
      <c r="H803" s="1"/>
      <c r="I803" s="1"/>
    </row>
    <row r="804" spans="3:9" x14ac:dyDescent="0.25">
      <c r="C804" s="1">
        <v>8001211</v>
      </c>
      <c r="D804" s="1">
        <v>1531</v>
      </c>
      <c r="E804" s="1" t="s">
        <v>802</v>
      </c>
      <c r="F804" s="1">
        <v>0</v>
      </c>
      <c r="G804" s="1" t="s">
        <v>96</v>
      </c>
      <c r="H804" s="1"/>
      <c r="I804" s="1"/>
    </row>
    <row r="805" spans="3:9" x14ac:dyDescent="0.25">
      <c r="C805" s="1">
        <v>8001228</v>
      </c>
      <c r="D805" s="1">
        <v>1531</v>
      </c>
      <c r="E805" s="1" t="s">
        <v>803</v>
      </c>
      <c r="F805" s="1">
        <v>0</v>
      </c>
      <c r="G805" s="1" t="s">
        <v>8</v>
      </c>
      <c r="H805" s="1"/>
      <c r="I805" s="1"/>
    </row>
    <row r="806" spans="3:9" x14ac:dyDescent="0.25">
      <c r="C806" s="1">
        <v>8001248</v>
      </c>
      <c r="D806" s="1">
        <v>1531</v>
      </c>
      <c r="E806" s="1" t="s">
        <v>804</v>
      </c>
      <c r="F806" s="1">
        <v>0</v>
      </c>
      <c r="G806" s="1" t="s">
        <v>8</v>
      </c>
      <c r="H806" s="1"/>
      <c r="I806" s="1"/>
    </row>
    <row r="807" spans="3:9" x14ac:dyDescent="0.25">
      <c r="C807" s="1">
        <v>8001249</v>
      </c>
      <c r="D807" s="1">
        <v>1531</v>
      </c>
      <c r="E807" s="1" t="s">
        <v>805</v>
      </c>
      <c r="F807" s="1">
        <v>0</v>
      </c>
      <c r="G807" s="1" t="s">
        <v>8</v>
      </c>
      <c r="H807" s="1"/>
      <c r="I807" s="1"/>
    </row>
    <row r="808" spans="3:9" x14ac:dyDescent="0.25">
      <c r="C808" s="1">
        <v>8001279</v>
      </c>
      <c r="D808" s="1">
        <v>1531</v>
      </c>
      <c r="E808" s="1" t="s">
        <v>806</v>
      </c>
      <c r="F808" s="1">
        <v>0</v>
      </c>
      <c r="G808" s="1" t="s">
        <v>8</v>
      </c>
      <c r="H808" s="1"/>
      <c r="I808" s="1"/>
    </row>
    <row r="809" spans="3:9" x14ac:dyDescent="0.25">
      <c r="C809" s="1">
        <v>8001283</v>
      </c>
      <c r="D809" s="1">
        <v>1531</v>
      </c>
      <c r="E809" s="1" t="s">
        <v>807</v>
      </c>
      <c r="F809" s="1">
        <v>0</v>
      </c>
      <c r="G809" s="1" t="s">
        <v>8</v>
      </c>
      <c r="H809" s="1"/>
      <c r="I809" s="1"/>
    </row>
    <row r="810" spans="3:9" x14ac:dyDescent="0.25">
      <c r="C810" s="1">
        <v>8001293</v>
      </c>
      <c r="D810" s="1">
        <v>1531</v>
      </c>
      <c r="E810" s="1" t="s">
        <v>808</v>
      </c>
      <c r="F810" s="1">
        <v>0</v>
      </c>
      <c r="G810" s="1" t="s">
        <v>8</v>
      </c>
      <c r="H810" s="1"/>
      <c r="I810" s="1"/>
    </row>
    <row r="811" spans="3:9" x14ac:dyDescent="0.25">
      <c r="C811" s="1">
        <v>8001300</v>
      </c>
      <c r="D811" s="1">
        <v>1531</v>
      </c>
      <c r="E811" s="1" t="s">
        <v>809</v>
      </c>
      <c r="F811" s="1">
        <v>0</v>
      </c>
      <c r="G811" s="1" t="s">
        <v>96</v>
      </c>
      <c r="H811" s="1"/>
      <c r="I811" s="1"/>
    </row>
    <row r="812" spans="3:9" x14ac:dyDescent="0.25">
      <c r="C812" s="1">
        <v>8001307</v>
      </c>
      <c r="D812" s="1">
        <v>1531</v>
      </c>
      <c r="E812" s="1" t="s">
        <v>810</v>
      </c>
      <c r="F812" s="1">
        <v>0</v>
      </c>
      <c r="G812" s="1" t="s">
        <v>8</v>
      </c>
      <c r="H812" s="1"/>
      <c r="I812" s="1"/>
    </row>
    <row r="813" spans="3:9" x14ac:dyDescent="0.25">
      <c r="C813" s="1">
        <v>8001308</v>
      </c>
      <c r="D813" s="1">
        <v>1531</v>
      </c>
      <c r="E813" s="1" t="s">
        <v>811</v>
      </c>
      <c r="F813" s="1">
        <v>0</v>
      </c>
      <c r="G813" s="1" t="s">
        <v>8</v>
      </c>
      <c r="H813" s="1"/>
      <c r="I813" s="1"/>
    </row>
    <row r="814" spans="3:9" x14ac:dyDescent="0.25">
      <c r="C814" s="1">
        <v>8001313</v>
      </c>
      <c r="D814" s="1">
        <v>1531</v>
      </c>
      <c r="E814" s="1" t="s">
        <v>812</v>
      </c>
      <c r="F814" s="1">
        <v>0</v>
      </c>
      <c r="G814" s="1" t="s">
        <v>8</v>
      </c>
      <c r="H814" s="1"/>
      <c r="I814" s="1"/>
    </row>
    <row r="815" spans="3:9" x14ac:dyDescent="0.25">
      <c r="C815" s="1">
        <v>8001314</v>
      </c>
      <c r="D815" s="1">
        <v>1531</v>
      </c>
      <c r="E815" s="1" t="s">
        <v>813</v>
      </c>
      <c r="F815" s="1">
        <v>0</v>
      </c>
      <c r="G815" s="1" t="s">
        <v>8</v>
      </c>
      <c r="H815" s="1"/>
      <c r="I815" s="1"/>
    </row>
    <row r="816" spans="3:9" x14ac:dyDescent="0.25">
      <c r="C816" s="1">
        <v>8001321</v>
      </c>
      <c r="D816" s="1">
        <v>1531</v>
      </c>
      <c r="E816" s="1" t="s">
        <v>814</v>
      </c>
      <c r="F816" s="1">
        <v>0</v>
      </c>
      <c r="G816" s="1" t="s">
        <v>8</v>
      </c>
      <c r="H816" s="1"/>
      <c r="I816" s="1"/>
    </row>
    <row r="817" spans="3:9" x14ac:dyDescent="0.25">
      <c r="C817" s="1">
        <v>8001329</v>
      </c>
      <c r="D817" s="1">
        <v>1531</v>
      </c>
      <c r="E817" s="1" t="s">
        <v>815</v>
      </c>
      <c r="F817" s="1">
        <v>0</v>
      </c>
      <c r="G817" s="1" t="s">
        <v>8</v>
      </c>
      <c r="H817" s="1"/>
      <c r="I817" s="1"/>
    </row>
    <row r="818" spans="3:9" x14ac:dyDescent="0.25">
      <c r="C818" s="1">
        <v>8001338</v>
      </c>
      <c r="D818" s="1">
        <v>1531</v>
      </c>
      <c r="E818" s="1" t="s">
        <v>816</v>
      </c>
      <c r="F818" s="1">
        <v>0</v>
      </c>
      <c r="G818" s="1" t="s">
        <v>8</v>
      </c>
      <c r="H818" s="1"/>
      <c r="I818" s="1"/>
    </row>
    <row r="819" spans="3:9" x14ac:dyDescent="0.25">
      <c r="C819" s="1">
        <v>8001341</v>
      </c>
      <c r="D819" s="1">
        <v>1531</v>
      </c>
      <c r="E819" s="1" t="s">
        <v>817</v>
      </c>
      <c r="F819" s="1">
        <v>0</v>
      </c>
      <c r="G819" s="1" t="s">
        <v>96</v>
      </c>
      <c r="H819" s="1"/>
      <c r="I819" s="1"/>
    </row>
    <row r="820" spans="3:9" x14ac:dyDescent="0.25">
      <c r="C820" s="1">
        <v>8001342</v>
      </c>
      <c r="D820" s="1">
        <v>1531</v>
      </c>
      <c r="E820" s="1" t="s">
        <v>818</v>
      </c>
      <c r="F820" s="1">
        <v>0</v>
      </c>
      <c r="G820" s="1" t="s">
        <v>96</v>
      </c>
      <c r="H820" s="1"/>
      <c r="I820" s="1"/>
    </row>
    <row r="821" spans="3:9" x14ac:dyDescent="0.25">
      <c r="C821" s="1">
        <v>8001346</v>
      </c>
      <c r="D821" s="1">
        <v>1531</v>
      </c>
      <c r="E821" s="1" t="s">
        <v>819</v>
      </c>
      <c r="F821" s="1">
        <v>0</v>
      </c>
      <c r="G821" s="1" t="s">
        <v>8</v>
      </c>
      <c r="H821" s="1"/>
      <c r="I821" s="1"/>
    </row>
    <row r="822" spans="3:9" x14ac:dyDescent="0.25">
      <c r="C822" s="1">
        <v>8001347</v>
      </c>
      <c r="D822" s="1">
        <v>1531</v>
      </c>
      <c r="E822" s="1" t="s">
        <v>820</v>
      </c>
      <c r="F822" s="1">
        <v>0</v>
      </c>
      <c r="G822" s="1" t="s">
        <v>8</v>
      </c>
      <c r="H822" s="1"/>
      <c r="I822" s="1"/>
    </row>
    <row r="823" spans="3:9" x14ac:dyDescent="0.25">
      <c r="C823" s="1">
        <v>8001350</v>
      </c>
      <c r="D823" s="1">
        <v>1531</v>
      </c>
      <c r="E823" s="1" t="s">
        <v>821</v>
      </c>
      <c r="F823" s="1">
        <v>0</v>
      </c>
      <c r="G823" s="1" t="s">
        <v>8</v>
      </c>
      <c r="H823" s="1"/>
      <c r="I823" s="1"/>
    </row>
    <row r="824" spans="3:9" x14ac:dyDescent="0.25">
      <c r="C824" s="1">
        <v>8002359</v>
      </c>
      <c r="D824" s="1">
        <v>1531</v>
      </c>
      <c r="E824" s="1" t="s">
        <v>822</v>
      </c>
      <c r="F824" s="1">
        <v>0</v>
      </c>
      <c r="G824" s="1" t="s">
        <v>96</v>
      </c>
      <c r="H824" s="1"/>
      <c r="I824" s="1"/>
    </row>
    <row r="825" spans="3:9" x14ac:dyDescent="0.25">
      <c r="C825" s="1">
        <v>8002508</v>
      </c>
      <c r="D825" s="1">
        <v>1531</v>
      </c>
      <c r="E825" s="1" t="s">
        <v>823</v>
      </c>
      <c r="F825" s="1">
        <v>0</v>
      </c>
      <c r="G825" s="1" t="s">
        <v>96</v>
      </c>
      <c r="H825" s="1"/>
      <c r="I825" s="1"/>
    </row>
    <row r="826" spans="3:9" x14ac:dyDescent="0.25">
      <c r="C826" s="1">
        <v>8002532</v>
      </c>
      <c r="D826" s="1">
        <v>1531</v>
      </c>
      <c r="E826" s="1" t="s">
        <v>824</v>
      </c>
      <c r="F826" s="1">
        <v>0</v>
      </c>
      <c r="G826" s="1" t="s">
        <v>8</v>
      </c>
      <c r="H826" s="1"/>
      <c r="I826" s="1"/>
    </row>
    <row r="827" spans="3:9" x14ac:dyDescent="0.25">
      <c r="C827" s="1">
        <v>8006294</v>
      </c>
      <c r="D827" s="1">
        <v>1531</v>
      </c>
      <c r="E827" s="1" t="s">
        <v>825</v>
      </c>
      <c r="F827" s="1">
        <v>0</v>
      </c>
      <c r="G827" s="1" t="s">
        <v>8</v>
      </c>
      <c r="H827" s="1"/>
      <c r="I827" s="1"/>
    </row>
    <row r="828" spans="3:9" x14ac:dyDescent="0.25">
      <c r="C828" s="1">
        <v>8006300</v>
      </c>
      <c r="D828" s="1">
        <v>1531</v>
      </c>
      <c r="E828" s="1" t="s">
        <v>826</v>
      </c>
      <c r="F828" s="1">
        <v>0</v>
      </c>
      <c r="G828" s="1" t="s">
        <v>8</v>
      </c>
      <c r="H828" s="1"/>
      <c r="I828" s="1"/>
    </row>
    <row r="829" spans="3:9" x14ac:dyDescent="0.25">
      <c r="C829" s="1">
        <v>8006469</v>
      </c>
      <c r="D829" s="1">
        <v>1531</v>
      </c>
      <c r="E829" s="1" t="s">
        <v>827</v>
      </c>
      <c r="F829" s="1">
        <v>0</v>
      </c>
      <c r="G829" s="1" t="s">
        <v>8</v>
      </c>
      <c r="H829" s="1"/>
      <c r="I829" s="1"/>
    </row>
    <row r="830" spans="3:9" x14ac:dyDescent="0.25">
      <c r="C830" s="1">
        <v>8006470</v>
      </c>
      <c r="D830" s="1">
        <v>1531</v>
      </c>
      <c r="E830" s="1" t="s">
        <v>828</v>
      </c>
      <c r="F830" s="1">
        <v>0</v>
      </c>
      <c r="G830" s="1" t="s">
        <v>8</v>
      </c>
      <c r="H830" s="1"/>
      <c r="I830" s="1"/>
    </row>
    <row r="831" spans="3:9" x14ac:dyDescent="0.25">
      <c r="C831" s="1">
        <v>8006471</v>
      </c>
      <c r="D831" s="1">
        <v>1531</v>
      </c>
      <c r="E831" s="1" t="s">
        <v>829</v>
      </c>
      <c r="F831" s="1">
        <v>0</v>
      </c>
      <c r="G831" s="1" t="s">
        <v>8</v>
      </c>
      <c r="H831" s="1"/>
      <c r="I831" s="1"/>
    </row>
    <row r="832" spans="3:9" x14ac:dyDescent="0.25">
      <c r="C832" s="1">
        <v>8006472</v>
      </c>
      <c r="D832" s="1">
        <v>1531</v>
      </c>
      <c r="E832" s="1" t="s">
        <v>830</v>
      </c>
      <c r="F832" s="1">
        <v>0</v>
      </c>
      <c r="G832" s="1" t="s">
        <v>8</v>
      </c>
      <c r="H832" s="1"/>
      <c r="I832" s="1"/>
    </row>
    <row r="833" spans="3:9" x14ac:dyDescent="0.25">
      <c r="C833" s="1">
        <v>8006999</v>
      </c>
      <c r="D833" s="1">
        <v>1531</v>
      </c>
      <c r="E833" s="1" t="s">
        <v>831</v>
      </c>
      <c r="F833" s="1">
        <v>0</v>
      </c>
      <c r="G833" s="1" t="s">
        <v>8</v>
      </c>
      <c r="H833" s="1"/>
      <c r="I833" s="1"/>
    </row>
    <row r="834" spans="3:9" x14ac:dyDescent="0.25">
      <c r="C834" s="1">
        <v>8007128</v>
      </c>
      <c r="D834" s="1">
        <v>1531</v>
      </c>
      <c r="E834" s="1" t="s">
        <v>832</v>
      </c>
      <c r="F834" s="1">
        <v>0</v>
      </c>
      <c r="G834" s="1" t="s">
        <v>96</v>
      </c>
      <c r="H834" s="1"/>
      <c r="I834" s="1"/>
    </row>
    <row r="835" spans="3:9" x14ac:dyDescent="0.25">
      <c r="C835" s="1">
        <v>8007258</v>
      </c>
      <c r="D835" s="1">
        <v>1531</v>
      </c>
      <c r="E835" s="1" t="s">
        <v>833</v>
      </c>
      <c r="F835" s="1">
        <v>0</v>
      </c>
      <c r="G835" s="1" t="s">
        <v>8</v>
      </c>
      <c r="H835" s="1"/>
      <c r="I835" s="1"/>
    </row>
    <row r="836" spans="3:9" x14ac:dyDescent="0.25">
      <c r="C836" s="1">
        <v>8007260</v>
      </c>
      <c r="D836" s="1">
        <v>1531</v>
      </c>
      <c r="E836" s="1" t="s">
        <v>834</v>
      </c>
      <c r="F836" s="1">
        <v>0</v>
      </c>
      <c r="G836" s="1" t="s">
        <v>96</v>
      </c>
      <c r="H836" s="1"/>
      <c r="I836" s="1"/>
    </row>
    <row r="837" spans="3:9" x14ac:dyDescent="0.25">
      <c r="C837" s="1">
        <v>8007261</v>
      </c>
      <c r="D837" s="1">
        <v>1531</v>
      </c>
      <c r="E837" s="1" t="s">
        <v>835</v>
      </c>
      <c r="F837" s="1">
        <v>0</v>
      </c>
      <c r="G837" s="1" t="s">
        <v>96</v>
      </c>
      <c r="H837" s="1"/>
      <c r="I837" s="1"/>
    </row>
    <row r="838" spans="3:9" x14ac:dyDescent="0.25">
      <c r="C838" s="1">
        <v>8007629</v>
      </c>
      <c r="D838" s="1">
        <v>1531</v>
      </c>
      <c r="E838" s="1" t="s">
        <v>836</v>
      </c>
      <c r="F838" s="1">
        <v>0</v>
      </c>
      <c r="G838" s="1" t="s">
        <v>96</v>
      </c>
      <c r="H838" s="1"/>
      <c r="I838" s="1"/>
    </row>
    <row r="839" spans="3:9" x14ac:dyDescent="0.25">
      <c r="C839" s="1">
        <v>8008523</v>
      </c>
      <c r="D839" s="1">
        <v>1531</v>
      </c>
      <c r="E839" s="1" t="s">
        <v>837</v>
      </c>
      <c r="F839" s="1">
        <v>0</v>
      </c>
      <c r="G839" s="1" t="s">
        <v>96</v>
      </c>
      <c r="H839" s="1"/>
      <c r="I839" s="1"/>
    </row>
    <row r="840" spans="3:9" x14ac:dyDescent="0.25">
      <c r="C840" s="1">
        <v>8008659</v>
      </c>
      <c r="D840" s="1">
        <v>1531</v>
      </c>
      <c r="E840" s="1" t="s">
        <v>838</v>
      </c>
      <c r="F840" s="1">
        <v>0</v>
      </c>
      <c r="G840" s="1" t="s">
        <v>96</v>
      </c>
      <c r="H840" s="1"/>
      <c r="I840" s="1"/>
    </row>
    <row r="841" spans="3:9" x14ac:dyDescent="0.25">
      <c r="C841" s="1">
        <v>8008660</v>
      </c>
      <c r="D841" s="1">
        <v>1531</v>
      </c>
      <c r="E841" s="1" t="s">
        <v>839</v>
      </c>
      <c r="F841" s="1">
        <v>0</v>
      </c>
      <c r="G841" s="1" t="s">
        <v>96</v>
      </c>
      <c r="H841" s="1"/>
      <c r="I841" s="1"/>
    </row>
    <row r="842" spans="3:9" x14ac:dyDescent="0.25">
      <c r="C842" s="1">
        <v>8008684</v>
      </c>
      <c r="D842" s="1">
        <v>1531</v>
      </c>
      <c r="E842" s="1" t="s">
        <v>840</v>
      </c>
      <c r="F842" s="1">
        <v>0</v>
      </c>
      <c r="G842" s="1" t="s">
        <v>96</v>
      </c>
      <c r="H842" s="1"/>
      <c r="I842" s="1"/>
    </row>
    <row r="843" spans="3:9" x14ac:dyDescent="0.25">
      <c r="C843" s="1">
        <v>8008695</v>
      </c>
      <c r="D843" s="1">
        <v>1531</v>
      </c>
      <c r="E843" s="1" t="s">
        <v>841</v>
      </c>
      <c r="F843" s="1">
        <v>0</v>
      </c>
      <c r="G843" s="1" t="s">
        <v>8</v>
      </c>
      <c r="H843" s="1"/>
      <c r="I843" s="1"/>
    </row>
    <row r="844" spans="3:9" x14ac:dyDescent="0.25">
      <c r="C844" s="1">
        <v>8008696</v>
      </c>
      <c r="D844" s="1">
        <v>1531</v>
      </c>
      <c r="E844" s="1" t="s">
        <v>842</v>
      </c>
      <c r="F844" s="1">
        <v>0</v>
      </c>
      <c r="G844" s="1" t="s">
        <v>8</v>
      </c>
      <c r="H844" s="1"/>
      <c r="I844" s="1"/>
    </row>
    <row r="845" spans="3:9" x14ac:dyDescent="0.25">
      <c r="C845" s="1">
        <v>8008808</v>
      </c>
      <c r="D845" s="1">
        <v>1531</v>
      </c>
      <c r="E845" s="1" t="s">
        <v>843</v>
      </c>
      <c r="F845" s="1">
        <v>0</v>
      </c>
      <c r="G845" s="1" t="s">
        <v>8</v>
      </c>
      <c r="H845" s="1"/>
      <c r="I845" s="1"/>
    </row>
    <row r="846" spans="3:9" x14ac:dyDescent="0.25">
      <c r="C846" s="1">
        <v>8008837</v>
      </c>
      <c r="D846" s="1">
        <v>1531</v>
      </c>
      <c r="E846" s="1" t="s">
        <v>844</v>
      </c>
      <c r="F846" s="1">
        <v>0</v>
      </c>
      <c r="G846" s="1" t="s">
        <v>8</v>
      </c>
      <c r="H846" s="1"/>
      <c r="I846" s="1"/>
    </row>
    <row r="847" spans="3:9" x14ac:dyDescent="0.25">
      <c r="C847" s="1">
        <v>8009719</v>
      </c>
      <c r="D847" s="1">
        <v>1531</v>
      </c>
      <c r="E847" s="1" t="s">
        <v>845</v>
      </c>
      <c r="F847" s="1">
        <v>0</v>
      </c>
      <c r="G847" s="1" t="s">
        <v>8</v>
      </c>
      <c r="H847" s="1"/>
      <c r="I847" s="1"/>
    </row>
    <row r="848" spans="3:9" x14ac:dyDescent="0.25">
      <c r="C848" s="1">
        <v>8009785</v>
      </c>
      <c r="D848" s="1">
        <v>1531</v>
      </c>
      <c r="E848" s="1" t="s">
        <v>846</v>
      </c>
      <c r="F848" s="1">
        <v>0</v>
      </c>
      <c r="G848" s="1" t="s">
        <v>8</v>
      </c>
      <c r="H848" s="1"/>
      <c r="I848" s="1"/>
    </row>
    <row r="849" spans="3:9" x14ac:dyDescent="0.25">
      <c r="C849" s="1">
        <v>8009786</v>
      </c>
      <c r="D849" s="1">
        <v>1531</v>
      </c>
      <c r="E849" s="1" t="s">
        <v>847</v>
      </c>
      <c r="F849" s="1">
        <v>0</v>
      </c>
      <c r="G849" s="1" t="s">
        <v>8</v>
      </c>
      <c r="H849" s="1"/>
      <c r="I849" s="1"/>
    </row>
    <row r="850" spans="3:9" x14ac:dyDescent="0.25">
      <c r="C850" s="1">
        <v>8009902</v>
      </c>
      <c r="D850" s="1">
        <v>1531</v>
      </c>
      <c r="E850" s="1" t="s">
        <v>848</v>
      </c>
      <c r="F850" s="1">
        <v>0</v>
      </c>
      <c r="G850" s="1" t="s">
        <v>8</v>
      </c>
      <c r="H850" s="1"/>
      <c r="I850" s="1"/>
    </row>
    <row r="851" spans="3:9" x14ac:dyDescent="0.25">
      <c r="C851" s="1">
        <v>8009903</v>
      </c>
      <c r="D851" s="1">
        <v>1531</v>
      </c>
      <c r="E851" s="1" t="s">
        <v>849</v>
      </c>
      <c r="F851" s="1">
        <v>0</v>
      </c>
      <c r="G851" s="1" t="s">
        <v>96</v>
      </c>
      <c r="H851" s="1"/>
      <c r="I851" s="1"/>
    </row>
    <row r="852" spans="3:9" x14ac:dyDescent="0.25">
      <c r="C852" s="1">
        <v>8010157</v>
      </c>
      <c r="D852" s="1">
        <v>1531</v>
      </c>
      <c r="E852" s="1" t="s">
        <v>850</v>
      </c>
      <c r="F852" s="1">
        <v>0</v>
      </c>
      <c r="G852" s="1" t="s">
        <v>8</v>
      </c>
      <c r="H852" s="1"/>
      <c r="I852" s="1"/>
    </row>
    <row r="853" spans="3:9" x14ac:dyDescent="0.25">
      <c r="C853" s="1">
        <v>8010200</v>
      </c>
      <c r="D853" s="1">
        <v>1531</v>
      </c>
      <c r="E853" s="1" t="s">
        <v>851</v>
      </c>
      <c r="F853" s="1">
        <v>0</v>
      </c>
      <c r="G853" s="1" t="s">
        <v>8</v>
      </c>
      <c r="H853" s="1"/>
      <c r="I853" s="1"/>
    </row>
    <row r="854" spans="3:9" x14ac:dyDescent="0.25">
      <c r="C854" s="1">
        <v>8010201</v>
      </c>
      <c r="D854" s="1">
        <v>1531</v>
      </c>
      <c r="E854" s="1" t="s">
        <v>852</v>
      </c>
      <c r="F854" s="1">
        <v>1600</v>
      </c>
      <c r="G854" s="1" t="s">
        <v>8</v>
      </c>
      <c r="H854" s="1"/>
      <c r="I854" s="1"/>
    </row>
    <row r="855" spans="3:9" x14ac:dyDescent="0.25">
      <c r="C855" s="1">
        <v>8010327</v>
      </c>
      <c r="D855" s="1">
        <v>1531</v>
      </c>
      <c r="E855" s="1" t="s">
        <v>853</v>
      </c>
      <c r="F855" s="1">
        <v>0</v>
      </c>
      <c r="G855" s="1" t="s">
        <v>96</v>
      </c>
      <c r="H855" s="1"/>
      <c r="I855" s="1"/>
    </row>
    <row r="856" spans="3:9" x14ac:dyDescent="0.25">
      <c r="C856" s="1">
        <v>8010447</v>
      </c>
      <c r="D856" s="1">
        <v>1531</v>
      </c>
      <c r="E856" s="1" t="s">
        <v>854</v>
      </c>
      <c r="F856" s="1">
        <v>0</v>
      </c>
      <c r="G856" s="1" t="s">
        <v>8</v>
      </c>
      <c r="H856" s="1"/>
      <c r="I856" s="1"/>
    </row>
    <row r="857" spans="3:9" x14ac:dyDescent="0.25">
      <c r="C857" s="1">
        <v>8010626</v>
      </c>
      <c r="D857" s="1">
        <v>1531</v>
      </c>
      <c r="E857" s="1" t="s">
        <v>855</v>
      </c>
      <c r="F857" s="1">
        <v>0</v>
      </c>
      <c r="G857" s="1" t="s">
        <v>96</v>
      </c>
      <c r="H857" s="1"/>
      <c r="I857" s="1"/>
    </row>
    <row r="858" spans="3:9" x14ac:dyDescent="0.25">
      <c r="C858" s="1">
        <v>8010694</v>
      </c>
      <c r="D858" s="1">
        <v>1531</v>
      </c>
      <c r="E858" s="1" t="s">
        <v>856</v>
      </c>
      <c r="F858" s="1">
        <v>0</v>
      </c>
      <c r="G858" s="1" t="s">
        <v>8</v>
      </c>
      <c r="H858" s="1"/>
      <c r="I858" s="1"/>
    </row>
    <row r="859" spans="3:9" x14ac:dyDescent="0.25">
      <c r="C859" s="1">
        <v>8010773</v>
      </c>
      <c r="D859" s="1">
        <v>1531</v>
      </c>
      <c r="E859" s="1" t="s">
        <v>857</v>
      </c>
      <c r="F859" s="1">
        <v>0</v>
      </c>
      <c r="G859" s="1" t="s">
        <v>96</v>
      </c>
      <c r="H859" s="1"/>
      <c r="I859" s="1"/>
    </row>
    <row r="860" spans="3:9" x14ac:dyDescent="0.25">
      <c r="C860" s="1">
        <v>8010780</v>
      </c>
      <c r="D860" s="1">
        <v>1531</v>
      </c>
      <c r="E860" s="1" t="s">
        <v>858</v>
      </c>
      <c r="F860" s="1">
        <v>0</v>
      </c>
      <c r="G860" s="1" t="s">
        <v>8</v>
      </c>
      <c r="H860" s="1"/>
      <c r="I860" s="1"/>
    </row>
    <row r="861" spans="3:9" x14ac:dyDescent="0.25">
      <c r="C861" s="1">
        <v>8011391</v>
      </c>
      <c r="D861" s="1">
        <v>1531</v>
      </c>
      <c r="E861" s="1" t="s">
        <v>859</v>
      </c>
      <c r="F861" s="1">
        <v>0</v>
      </c>
      <c r="G861" s="1" t="s">
        <v>96</v>
      </c>
      <c r="H861" s="1"/>
      <c r="I861" s="1"/>
    </row>
    <row r="862" spans="3:9" x14ac:dyDescent="0.25">
      <c r="C862" s="1">
        <v>8011392</v>
      </c>
      <c r="D862" s="1">
        <v>1531</v>
      </c>
      <c r="E862" s="1" t="s">
        <v>860</v>
      </c>
      <c r="F862" s="1">
        <v>0</v>
      </c>
      <c r="G862" s="1" t="s">
        <v>96</v>
      </c>
      <c r="H862" s="1"/>
      <c r="I862" s="1"/>
    </row>
    <row r="863" spans="3:9" x14ac:dyDescent="0.25">
      <c r="C863" s="1">
        <v>8011393</v>
      </c>
      <c r="D863" s="1">
        <v>1531</v>
      </c>
      <c r="E863" s="1" t="s">
        <v>861</v>
      </c>
      <c r="F863" s="1">
        <v>0</v>
      </c>
      <c r="G863" s="1" t="s">
        <v>96</v>
      </c>
      <c r="H863" s="1"/>
      <c r="I863" s="1"/>
    </row>
    <row r="864" spans="3:9" x14ac:dyDescent="0.25">
      <c r="C864" s="1">
        <v>8011440</v>
      </c>
      <c r="D864" s="1">
        <v>1531</v>
      </c>
      <c r="E864" s="1" t="s">
        <v>862</v>
      </c>
      <c r="F864" s="1">
        <v>0</v>
      </c>
      <c r="G864" s="1" t="s">
        <v>96</v>
      </c>
      <c r="H864" s="1"/>
      <c r="I864" s="1"/>
    </row>
    <row r="865" spans="3:9" x14ac:dyDescent="0.25">
      <c r="C865" s="1">
        <v>8011447</v>
      </c>
      <c r="D865" s="1">
        <v>1531</v>
      </c>
      <c r="E865" s="1" t="s">
        <v>863</v>
      </c>
      <c r="F865" s="1">
        <v>0</v>
      </c>
      <c r="G865" s="1" t="s">
        <v>8</v>
      </c>
      <c r="H865" s="1"/>
      <c r="I865" s="1"/>
    </row>
    <row r="866" spans="3:9" x14ac:dyDescent="0.25">
      <c r="C866" s="1">
        <v>8011448</v>
      </c>
      <c r="D866" s="1">
        <v>1531</v>
      </c>
      <c r="E866" s="1" t="s">
        <v>864</v>
      </c>
      <c r="F866" s="1">
        <v>0</v>
      </c>
      <c r="G866" s="1" t="s">
        <v>8</v>
      </c>
      <c r="H866" s="1"/>
      <c r="I866" s="1"/>
    </row>
    <row r="867" spans="3:9" x14ac:dyDescent="0.25">
      <c r="C867" s="1">
        <v>8011469</v>
      </c>
      <c r="D867" s="1">
        <v>1531</v>
      </c>
      <c r="E867" s="1" t="s">
        <v>865</v>
      </c>
      <c r="F867" s="1">
        <v>0</v>
      </c>
      <c r="G867" s="1" t="s">
        <v>8</v>
      </c>
      <c r="H867" s="1"/>
      <c r="I867" s="1"/>
    </row>
    <row r="868" spans="3:9" x14ac:dyDescent="0.25">
      <c r="C868" s="1">
        <v>8012090</v>
      </c>
      <c r="D868" s="1">
        <v>1531</v>
      </c>
      <c r="E868" s="1" t="s">
        <v>866</v>
      </c>
      <c r="F868" s="1">
        <v>0</v>
      </c>
      <c r="G868" s="1" t="s">
        <v>8</v>
      </c>
      <c r="H868" s="1"/>
      <c r="I868" s="1"/>
    </row>
    <row r="869" spans="3:9" x14ac:dyDescent="0.25">
      <c r="C869" s="1">
        <v>8012552</v>
      </c>
      <c r="D869" s="1">
        <v>1531</v>
      </c>
      <c r="E869" s="1" t="s">
        <v>867</v>
      </c>
      <c r="F869" s="1">
        <v>0</v>
      </c>
      <c r="G869" s="1" t="s">
        <v>96</v>
      </c>
      <c r="H869" s="1"/>
      <c r="I869" s="1"/>
    </row>
    <row r="870" spans="3:9" x14ac:dyDescent="0.25">
      <c r="C870" s="1">
        <v>8012642</v>
      </c>
      <c r="D870" s="1">
        <v>1531</v>
      </c>
      <c r="E870" s="1" t="s">
        <v>868</v>
      </c>
      <c r="F870" s="1">
        <v>0</v>
      </c>
      <c r="G870" s="1" t="s">
        <v>8</v>
      </c>
      <c r="H870" s="1"/>
      <c r="I870" s="1"/>
    </row>
    <row r="871" spans="3:9" x14ac:dyDescent="0.25">
      <c r="C871" s="1">
        <v>8012917</v>
      </c>
      <c r="D871" s="1">
        <v>1531</v>
      </c>
      <c r="E871" s="1" t="s">
        <v>869</v>
      </c>
      <c r="F871" s="1">
        <v>0</v>
      </c>
      <c r="G871" s="1" t="s">
        <v>8</v>
      </c>
      <c r="H871" s="1"/>
      <c r="I871" s="1"/>
    </row>
    <row r="872" spans="3:9" x14ac:dyDescent="0.25">
      <c r="C872" s="1">
        <v>8013213</v>
      </c>
      <c r="D872" s="1">
        <v>1531</v>
      </c>
      <c r="E872" s="1" t="s">
        <v>870</v>
      </c>
      <c r="F872" s="1">
        <v>0</v>
      </c>
      <c r="G872" s="1" t="s">
        <v>8</v>
      </c>
      <c r="H872" s="1"/>
      <c r="I872" s="1"/>
    </row>
    <row r="873" spans="3:9" x14ac:dyDescent="0.25">
      <c r="C873" s="1">
        <v>8013461</v>
      </c>
      <c r="D873" s="1">
        <v>1531</v>
      </c>
      <c r="E873" s="1" t="s">
        <v>871</v>
      </c>
      <c r="F873" s="1">
        <v>0</v>
      </c>
      <c r="G873" s="1" t="s">
        <v>96</v>
      </c>
      <c r="H873" s="1"/>
      <c r="I873" s="1"/>
    </row>
    <row r="874" spans="3:9" x14ac:dyDescent="0.25">
      <c r="C874" s="1">
        <v>8013789</v>
      </c>
      <c r="D874" s="1">
        <v>1531</v>
      </c>
      <c r="E874" s="1" t="s">
        <v>872</v>
      </c>
      <c r="F874" s="1">
        <v>0</v>
      </c>
      <c r="G874" s="1" t="s">
        <v>8</v>
      </c>
      <c r="H874" s="1"/>
      <c r="I874" s="1"/>
    </row>
    <row r="875" spans="3:9" x14ac:dyDescent="0.25">
      <c r="C875" s="1">
        <v>8014050</v>
      </c>
      <c r="D875" s="1">
        <v>1531</v>
      </c>
      <c r="E875" s="1" t="s">
        <v>873</v>
      </c>
      <c r="F875" s="1">
        <v>0</v>
      </c>
      <c r="G875" s="1" t="s">
        <v>8</v>
      </c>
      <c r="H875" s="1"/>
      <c r="I875" s="1"/>
    </row>
    <row r="876" spans="3:9" x14ac:dyDescent="0.25">
      <c r="C876" s="1">
        <v>8014051</v>
      </c>
      <c r="D876" s="1">
        <v>1531</v>
      </c>
      <c r="E876" s="1" t="s">
        <v>874</v>
      </c>
      <c r="F876" s="1">
        <v>0</v>
      </c>
      <c r="G876" s="1" t="s">
        <v>8</v>
      </c>
      <c r="H876" s="1"/>
      <c r="I876" s="1"/>
    </row>
    <row r="877" spans="3:9" x14ac:dyDescent="0.25">
      <c r="C877" s="1">
        <v>8014078</v>
      </c>
      <c r="D877" s="1">
        <v>1531</v>
      </c>
      <c r="E877" s="1" t="s">
        <v>875</v>
      </c>
      <c r="F877" s="1">
        <v>0</v>
      </c>
      <c r="G877" s="1" t="s">
        <v>8</v>
      </c>
      <c r="H877" s="1"/>
      <c r="I877" s="1"/>
    </row>
    <row r="878" spans="3:9" x14ac:dyDescent="0.25">
      <c r="C878" s="1">
        <v>8014079</v>
      </c>
      <c r="D878" s="1">
        <v>1531</v>
      </c>
      <c r="E878" s="1" t="s">
        <v>876</v>
      </c>
      <c r="F878" s="1">
        <v>0</v>
      </c>
      <c r="G878" s="1" t="s">
        <v>8</v>
      </c>
      <c r="H878" s="1"/>
      <c r="I878" s="1"/>
    </row>
    <row r="879" spans="3:9" x14ac:dyDescent="0.25">
      <c r="C879" s="1">
        <v>8014295</v>
      </c>
      <c r="D879" s="1">
        <v>1531</v>
      </c>
      <c r="E879" s="1" t="s">
        <v>877</v>
      </c>
      <c r="F879" s="1">
        <v>0</v>
      </c>
      <c r="G879" s="1" t="s">
        <v>8</v>
      </c>
      <c r="H879" s="1"/>
      <c r="I879" s="1"/>
    </row>
    <row r="880" spans="3:9" x14ac:dyDescent="0.25">
      <c r="C880" s="1">
        <v>8014296</v>
      </c>
      <c r="D880" s="1">
        <v>1531</v>
      </c>
      <c r="E880" s="1" t="s">
        <v>878</v>
      </c>
      <c r="F880" s="1">
        <v>0</v>
      </c>
      <c r="G880" s="1" t="s">
        <v>8</v>
      </c>
      <c r="H880" s="1"/>
      <c r="I880" s="1"/>
    </row>
    <row r="881" spans="3:9" x14ac:dyDescent="0.25">
      <c r="C881" s="1">
        <v>8014380</v>
      </c>
      <c r="D881" s="1">
        <v>1531</v>
      </c>
      <c r="E881" s="1" t="s">
        <v>879</v>
      </c>
      <c r="F881" s="1">
        <v>15090</v>
      </c>
      <c r="G881" s="1" t="s">
        <v>8</v>
      </c>
      <c r="H881" s="1"/>
      <c r="I881" s="1"/>
    </row>
    <row r="882" spans="3:9" x14ac:dyDescent="0.25">
      <c r="C882" s="1">
        <v>8015117</v>
      </c>
      <c r="D882" s="1">
        <v>1531</v>
      </c>
      <c r="E882" s="1" t="s">
        <v>880</v>
      </c>
      <c r="F882" s="1">
        <v>0</v>
      </c>
      <c r="G882" s="1" t="s">
        <v>8</v>
      </c>
      <c r="H882" s="1"/>
      <c r="I882" s="1"/>
    </row>
    <row r="883" spans="3:9" x14ac:dyDescent="0.25">
      <c r="C883" s="1">
        <v>8015125</v>
      </c>
      <c r="D883" s="1">
        <v>1531</v>
      </c>
      <c r="E883" s="1" t="s">
        <v>881</v>
      </c>
      <c r="F883" s="1">
        <v>530</v>
      </c>
      <c r="G883" s="1" t="s">
        <v>96</v>
      </c>
      <c r="H883" s="1"/>
      <c r="I883" s="1"/>
    </row>
    <row r="884" spans="3:9" x14ac:dyDescent="0.25">
      <c r="C884" s="1">
        <v>8015212</v>
      </c>
      <c r="D884" s="1">
        <v>1531</v>
      </c>
      <c r="E884" s="1" t="s">
        <v>882</v>
      </c>
      <c r="F884" s="1">
        <v>0</v>
      </c>
      <c r="G884" s="1" t="s">
        <v>96</v>
      </c>
      <c r="H884" s="1"/>
      <c r="I884" s="1"/>
    </row>
    <row r="885" spans="3:9" x14ac:dyDescent="0.25">
      <c r="C885" s="1">
        <v>8015289</v>
      </c>
      <c r="D885" s="1">
        <v>1531</v>
      </c>
      <c r="E885" s="1" t="s">
        <v>883</v>
      </c>
      <c r="F885" s="1">
        <v>0</v>
      </c>
      <c r="G885" s="1" t="s">
        <v>8</v>
      </c>
      <c r="H885" s="1"/>
      <c r="I885" s="1"/>
    </row>
    <row r="886" spans="3:9" x14ac:dyDescent="0.25">
      <c r="C886" s="1">
        <v>8015444</v>
      </c>
      <c r="D886" s="1">
        <v>1531</v>
      </c>
      <c r="E886" s="1" t="s">
        <v>884</v>
      </c>
      <c r="F886" s="1">
        <v>0</v>
      </c>
      <c r="G886" s="1" t="s">
        <v>96</v>
      </c>
      <c r="H886" s="1"/>
      <c r="I886" s="1"/>
    </row>
    <row r="887" spans="3:9" x14ac:dyDescent="0.25">
      <c r="C887" s="1">
        <v>8015445</v>
      </c>
      <c r="D887" s="1">
        <v>1531</v>
      </c>
      <c r="E887" s="1" t="s">
        <v>885</v>
      </c>
      <c r="F887" s="1">
        <v>0</v>
      </c>
      <c r="G887" s="1" t="s">
        <v>96</v>
      </c>
      <c r="H887" s="1"/>
      <c r="I887" s="1"/>
    </row>
    <row r="888" spans="3:9" x14ac:dyDescent="0.25">
      <c r="C888" s="1">
        <v>8015627</v>
      </c>
      <c r="D888" s="1">
        <v>1531</v>
      </c>
      <c r="E888" s="1" t="s">
        <v>886</v>
      </c>
      <c r="F888" s="1">
        <v>0</v>
      </c>
      <c r="G888" s="1" t="s">
        <v>8</v>
      </c>
      <c r="H888" s="1"/>
      <c r="I888" s="1"/>
    </row>
    <row r="889" spans="3:9" x14ac:dyDescent="0.25">
      <c r="C889" s="1">
        <v>8015639</v>
      </c>
      <c r="D889" s="1">
        <v>1531</v>
      </c>
      <c r="E889" s="1" t="s">
        <v>887</v>
      </c>
      <c r="F889" s="1">
        <v>0</v>
      </c>
      <c r="G889" s="1" t="s">
        <v>8</v>
      </c>
      <c r="H889" s="1"/>
      <c r="I889" s="1"/>
    </row>
    <row r="890" spans="3:9" x14ac:dyDescent="0.25">
      <c r="C890" s="1">
        <v>8015640</v>
      </c>
      <c r="D890" s="1">
        <v>1531</v>
      </c>
      <c r="E890" s="1" t="s">
        <v>888</v>
      </c>
      <c r="F890" s="1">
        <v>0</v>
      </c>
      <c r="G890" s="1" t="s">
        <v>8</v>
      </c>
      <c r="H890" s="1"/>
      <c r="I890" s="1"/>
    </row>
    <row r="891" spans="3:9" x14ac:dyDescent="0.25">
      <c r="C891" s="1">
        <v>8015641</v>
      </c>
      <c r="D891" s="1">
        <v>1531</v>
      </c>
      <c r="E891" s="1" t="s">
        <v>889</v>
      </c>
      <c r="F891" s="1">
        <v>0</v>
      </c>
      <c r="G891" s="1" t="s">
        <v>8</v>
      </c>
      <c r="H891" s="1"/>
      <c r="I891" s="1"/>
    </row>
    <row r="892" spans="3:9" x14ac:dyDescent="0.25">
      <c r="C892" s="1">
        <v>8015642</v>
      </c>
      <c r="D892" s="1">
        <v>1531</v>
      </c>
      <c r="E892" s="1" t="s">
        <v>890</v>
      </c>
      <c r="F892" s="1">
        <v>0</v>
      </c>
      <c r="G892" s="1" t="s">
        <v>8</v>
      </c>
      <c r="H892" s="1"/>
      <c r="I892" s="1"/>
    </row>
    <row r="893" spans="3:9" x14ac:dyDescent="0.25">
      <c r="C893" s="1">
        <v>8015643</v>
      </c>
      <c r="D893" s="1">
        <v>1531</v>
      </c>
      <c r="E893" s="1" t="s">
        <v>891</v>
      </c>
      <c r="F893" s="1">
        <v>0</v>
      </c>
      <c r="G893" s="1" t="s">
        <v>8</v>
      </c>
      <c r="H893" s="1"/>
      <c r="I893" s="1"/>
    </row>
    <row r="894" spans="3:9" x14ac:dyDescent="0.25">
      <c r="C894" s="1">
        <v>8015644</v>
      </c>
      <c r="D894" s="1">
        <v>1531</v>
      </c>
      <c r="E894" s="1" t="s">
        <v>892</v>
      </c>
      <c r="F894" s="1">
        <v>0</v>
      </c>
      <c r="G894" s="1" t="s">
        <v>8</v>
      </c>
      <c r="H894" s="1"/>
      <c r="I894" s="1"/>
    </row>
    <row r="895" spans="3:9" x14ac:dyDescent="0.25">
      <c r="C895" s="1">
        <v>8015645</v>
      </c>
      <c r="D895" s="1">
        <v>1531</v>
      </c>
      <c r="E895" s="1" t="s">
        <v>893</v>
      </c>
      <c r="F895" s="1">
        <v>0</v>
      </c>
      <c r="G895" s="1" t="s">
        <v>8</v>
      </c>
      <c r="H895" s="1"/>
      <c r="I895" s="1"/>
    </row>
    <row r="896" spans="3:9" x14ac:dyDescent="0.25">
      <c r="C896" s="1">
        <v>8016443</v>
      </c>
      <c r="D896" s="1">
        <v>1531</v>
      </c>
      <c r="E896" s="1" t="s">
        <v>894</v>
      </c>
      <c r="F896" s="1">
        <v>0</v>
      </c>
      <c r="G896" s="1" t="s">
        <v>8</v>
      </c>
      <c r="H896" s="1"/>
      <c r="I896" s="1"/>
    </row>
    <row r="897" spans="3:9" x14ac:dyDescent="0.25">
      <c r="C897" s="1">
        <v>8016752</v>
      </c>
      <c r="D897" s="1">
        <v>1531</v>
      </c>
      <c r="E897" s="1" t="s">
        <v>895</v>
      </c>
      <c r="F897" s="1">
        <v>0</v>
      </c>
      <c r="G897" s="1" t="s">
        <v>96</v>
      </c>
      <c r="H897" s="1"/>
      <c r="I897" s="1"/>
    </row>
    <row r="898" spans="3:9" x14ac:dyDescent="0.25">
      <c r="C898" s="1">
        <v>8016776</v>
      </c>
      <c r="D898" s="1">
        <v>1531</v>
      </c>
      <c r="E898" s="1" t="s">
        <v>896</v>
      </c>
      <c r="F898" s="1">
        <v>0</v>
      </c>
      <c r="G898" s="1" t="s">
        <v>96</v>
      </c>
      <c r="H898" s="1"/>
      <c r="I898" s="1"/>
    </row>
    <row r="899" spans="3:9" x14ac:dyDescent="0.25">
      <c r="C899" s="1">
        <v>8016931</v>
      </c>
      <c r="D899" s="1">
        <v>1531</v>
      </c>
      <c r="E899" s="1" t="s">
        <v>897</v>
      </c>
      <c r="F899" s="1">
        <v>0</v>
      </c>
      <c r="G899" s="1" t="s">
        <v>8</v>
      </c>
      <c r="H899" s="1"/>
      <c r="I899" s="1"/>
    </row>
    <row r="900" spans="3:9" x14ac:dyDescent="0.25">
      <c r="C900" s="1">
        <v>8016997</v>
      </c>
      <c r="D900" s="1">
        <v>1531</v>
      </c>
      <c r="E900" s="1" t="s">
        <v>898</v>
      </c>
      <c r="F900" s="1">
        <v>0</v>
      </c>
      <c r="G900" s="1" t="s">
        <v>8</v>
      </c>
      <c r="H900" s="1"/>
      <c r="I900" s="1"/>
    </row>
    <row r="901" spans="3:9" x14ac:dyDescent="0.25">
      <c r="C901" s="1">
        <v>8017475</v>
      </c>
      <c r="D901" s="1">
        <v>1531</v>
      </c>
      <c r="E901" s="1" t="s">
        <v>899</v>
      </c>
      <c r="F901" s="1">
        <v>0</v>
      </c>
      <c r="G901" s="1" t="s">
        <v>8</v>
      </c>
      <c r="H901" s="1"/>
      <c r="I901" s="1"/>
    </row>
    <row r="902" spans="3:9" x14ac:dyDescent="0.25">
      <c r="C902" s="1">
        <v>8017476</v>
      </c>
      <c r="D902" s="1">
        <v>1531</v>
      </c>
      <c r="E902" s="1" t="s">
        <v>900</v>
      </c>
      <c r="F902" s="1">
        <v>0</v>
      </c>
      <c r="G902" s="1" t="s">
        <v>8</v>
      </c>
      <c r="H902" s="1"/>
      <c r="I902" s="1"/>
    </row>
    <row r="903" spans="3:9" x14ac:dyDescent="0.25">
      <c r="C903" s="1">
        <v>8018197</v>
      </c>
      <c r="D903" s="1">
        <v>1531</v>
      </c>
      <c r="E903" s="1" t="s">
        <v>901</v>
      </c>
      <c r="F903" s="1">
        <v>0</v>
      </c>
      <c r="G903" s="1" t="s">
        <v>96</v>
      </c>
      <c r="H903" s="1"/>
      <c r="I903" s="1"/>
    </row>
    <row r="904" spans="3:9" x14ac:dyDescent="0.25">
      <c r="C904" s="1">
        <v>8018198</v>
      </c>
      <c r="D904" s="1">
        <v>1531</v>
      </c>
      <c r="E904" s="1" t="s">
        <v>902</v>
      </c>
      <c r="F904" s="1">
        <v>0</v>
      </c>
      <c r="G904" s="1" t="s">
        <v>96</v>
      </c>
      <c r="H904" s="1"/>
      <c r="I904" s="1"/>
    </row>
    <row r="905" spans="3:9" x14ac:dyDescent="0.25">
      <c r="C905" s="1">
        <v>8018464</v>
      </c>
      <c r="D905" s="1">
        <v>1531</v>
      </c>
      <c r="E905" s="1" t="s">
        <v>903</v>
      </c>
      <c r="F905" s="1">
        <v>0</v>
      </c>
      <c r="G905" s="1" t="s">
        <v>8</v>
      </c>
      <c r="H905" s="1"/>
      <c r="I905" s="1"/>
    </row>
    <row r="906" spans="3:9" x14ac:dyDescent="0.25">
      <c r="C906" s="1">
        <v>8019295</v>
      </c>
      <c r="D906" s="1">
        <v>1531</v>
      </c>
      <c r="E906" s="1" t="s">
        <v>904</v>
      </c>
      <c r="F906" s="1">
        <v>0</v>
      </c>
      <c r="G906" s="1" t="s">
        <v>8</v>
      </c>
      <c r="H906" s="1"/>
      <c r="I906" s="1"/>
    </row>
    <row r="907" spans="3:9" x14ac:dyDescent="0.25">
      <c r="C907" s="1">
        <v>8019352</v>
      </c>
      <c r="D907" s="1">
        <v>1531</v>
      </c>
      <c r="E907" s="1" t="s">
        <v>905</v>
      </c>
      <c r="F907" s="1">
        <v>0</v>
      </c>
      <c r="G907" s="1" t="s">
        <v>96</v>
      </c>
      <c r="H907" s="1"/>
      <c r="I907" s="1"/>
    </row>
    <row r="908" spans="3:9" x14ac:dyDescent="0.25">
      <c r="C908" s="1">
        <v>8019356</v>
      </c>
      <c r="D908" s="1">
        <v>1531</v>
      </c>
      <c r="E908" s="1" t="s">
        <v>906</v>
      </c>
      <c r="F908" s="1">
        <v>2399</v>
      </c>
      <c r="G908" s="1" t="s">
        <v>96</v>
      </c>
      <c r="H908" s="1"/>
      <c r="I908" s="1"/>
    </row>
    <row r="909" spans="3:9" x14ac:dyDescent="0.25">
      <c r="C909" s="1">
        <v>8019376</v>
      </c>
      <c r="D909" s="1">
        <v>1531</v>
      </c>
      <c r="E909" s="1" t="s">
        <v>907</v>
      </c>
      <c r="F909" s="1">
        <v>0</v>
      </c>
      <c r="G909" s="1" t="s">
        <v>96</v>
      </c>
      <c r="H909" s="1"/>
      <c r="I909" s="1"/>
    </row>
    <row r="910" spans="3:9" x14ac:dyDescent="0.25">
      <c r="C910" s="1">
        <v>8019377</v>
      </c>
      <c r="D910" s="1">
        <v>1531</v>
      </c>
      <c r="E910" s="1" t="s">
        <v>908</v>
      </c>
      <c r="F910" s="1">
        <v>0</v>
      </c>
      <c r="G910" s="1" t="s">
        <v>96</v>
      </c>
      <c r="H910" s="1"/>
      <c r="I910" s="1"/>
    </row>
    <row r="911" spans="3:9" x14ac:dyDescent="0.25">
      <c r="C911" s="1">
        <v>8019383</v>
      </c>
      <c r="D911" s="1">
        <v>1531</v>
      </c>
      <c r="E911" s="1" t="s">
        <v>909</v>
      </c>
      <c r="F911" s="1">
        <v>0</v>
      </c>
      <c r="G911" s="1" t="s">
        <v>96</v>
      </c>
      <c r="H911" s="1"/>
      <c r="I911" s="1"/>
    </row>
    <row r="912" spans="3:9" x14ac:dyDescent="0.25">
      <c r="C912" s="1">
        <v>8019384</v>
      </c>
      <c r="D912" s="1">
        <v>1531</v>
      </c>
      <c r="E912" s="1" t="s">
        <v>910</v>
      </c>
      <c r="F912" s="1">
        <v>0</v>
      </c>
      <c r="G912" s="1" t="s">
        <v>96</v>
      </c>
      <c r="H912" s="1"/>
      <c r="I912" s="1"/>
    </row>
    <row r="913" spans="3:9" x14ac:dyDescent="0.25">
      <c r="C913" s="1">
        <v>8019385</v>
      </c>
      <c r="D913" s="1">
        <v>1531</v>
      </c>
      <c r="E913" s="1" t="s">
        <v>911</v>
      </c>
      <c r="F913" s="1">
        <v>0</v>
      </c>
      <c r="G913" s="1" t="s">
        <v>96</v>
      </c>
      <c r="H913" s="1"/>
      <c r="I913" s="1"/>
    </row>
    <row r="914" spans="3:9" x14ac:dyDescent="0.25">
      <c r="C914" s="1">
        <v>8019386</v>
      </c>
      <c r="D914" s="1">
        <v>1531</v>
      </c>
      <c r="E914" s="1" t="s">
        <v>912</v>
      </c>
      <c r="F914" s="1">
        <v>0</v>
      </c>
      <c r="G914" s="1" t="s">
        <v>96</v>
      </c>
      <c r="H914" s="1"/>
      <c r="I914" s="1"/>
    </row>
    <row r="915" spans="3:9" x14ac:dyDescent="0.25">
      <c r="C915" s="1">
        <v>8019387</v>
      </c>
      <c r="D915" s="1">
        <v>1531</v>
      </c>
      <c r="E915" s="1" t="s">
        <v>913</v>
      </c>
      <c r="F915" s="1">
        <v>0</v>
      </c>
      <c r="G915" s="1" t="s">
        <v>96</v>
      </c>
      <c r="H915" s="1"/>
      <c r="I915" s="1"/>
    </row>
    <row r="916" spans="3:9" x14ac:dyDescent="0.25">
      <c r="C916" s="1">
        <v>8019388</v>
      </c>
      <c r="D916" s="1">
        <v>1531</v>
      </c>
      <c r="E916" s="1" t="s">
        <v>914</v>
      </c>
      <c r="F916" s="1">
        <v>0</v>
      </c>
      <c r="G916" s="1" t="s">
        <v>96</v>
      </c>
      <c r="H916" s="1"/>
      <c r="I916" s="1"/>
    </row>
    <row r="917" spans="3:9" x14ac:dyDescent="0.25">
      <c r="C917" s="1">
        <v>8019450</v>
      </c>
      <c r="D917" s="1">
        <v>1531</v>
      </c>
      <c r="E917" s="1" t="s">
        <v>915</v>
      </c>
      <c r="F917" s="1">
        <v>1859</v>
      </c>
      <c r="G917" s="1" t="s">
        <v>96</v>
      </c>
      <c r="H917" s="1"/>
      <c r="I917" s="1"/>
    </row>
    <row r="918" spans="3:9" x14ac:dyDescent="0.25">
      <c r="C918" s="1">
        <v>8019547</v>
      </c>
      <c r="D918" s="1">
        <v>1531</v>
      </c>
      <c r="E918" s="1" t="s">
        <v>916</v>
      </c>
      <c r="F918" s="1">
        <v>0</v>
      </c>
      <c r="G918" s="1" t="s">
        <v>8</v>
      </c>
      <c r="H918" s="1"/>
      <c r="I918" s="1"/>
    </row>
    <row r="919" spans="3:9" x14ac:dyDescent="0.25">
      <c r="C919" s="1">
        <v>8019568</v>
      </c>
      <c r="D919" s="1">
        <v>1531</v>
      </c>
      <c r="E919" s="1" t="s">
        <v>917</v>
      </c>
      <c r="F919" s="1">
        <v>698</v>
      </c>
      <c r="G919" s="1" t="s">
        <v>96</v>
      </c>
      <c r="H919" s="1"/>
      <c r="I919" s="1"/>
    </row>
    <row r="920" spans="3:9" x14ac:dyDescent="0.25">
      <c r="C920" s="1">
        <v>8019852</v>
      </c>
      <c r="D920" s="1">
        <v>1531</v>
      </c>
      <c r="E920" s="1" t="s">
        <v>918</v>
      </c>
      <c r="F920" s="1">
        <v>0</v>
      </c>
      <c r="G920" s="1" t="s">
        <v>8</v>
      </c>
      <c r="H920" s="1"/>
      <c r="I920" s="1"/>
    </row>
    <row r="921" spans="3:9" x14ac:dyDescent="0.25">
      <c r="C921" s="1">
        <v>8020065</v>
      </c>
      <c r="D921" s="1">
        <v>1531</v>
      </c>
      <c r="E921" s="1" t="s">
        <v>919</v>
      </c>
      <c r="F921" s="1">
        <v>0</v>
      </c>
      <c r="G921" s="1" t="s">
        <v>8</v>
      </c>
      <c r="H921" s="1"/>
      <c r="I921" s="1"/>
    </row>
    <row r="922" spans="3:9" x14ac:dyDescent="0.25">
      <c r="C922" s="1">
        <v>8020066</v>
      </c>
      <c r="D922" s="1">
        <v>1531</v>
      </c>
      <c r="E922" s="1" t="s">
        <v>920</v>
      </c>
      <c r="F922" s="1">
        <v>0</v>
      </c>
      <c r="G922" s="1" t="s">
        <v>8</v>
      </c>
      <c r="H922" s="1"/>
      <c r="I922" s="1"/>
    </row>
    <row r="923" spans="3:9" x14ac:dyDescent="0.25">
      <c r="C923" s="1">
        <v>8020451</v>
      </c>
      <c r="D923" s="1">
        <v>1531</v>
      </c>
      <c r="E923" s="1" t="s">
        <v>921</v>
      </c>
      <c r="F923" s="1">
        <v>0</v>
      </c>
      <c r="G923" s="1" t="s">
        <v>8</v>
      </c>
      <c r="H923" s="1"/>
      <c r="I923" s="1"/>
    </row>
    <row r="924" spans="3:9" x14ac:dyDescent="0.25">
      <c r="C924" s="1">
        <v>8020452</v>
      </c>
      <c r="D924" s="1">
        <v>1531</v>
      </c>
      <c r="E924" s="1" t="s">
        <v>922</v>
      </c>
      <c r="F924" s="1">
        <v>0</v>
      </c>
      <c r="G924" s="1" t="s">
        <v>8</v>
      </c>
      <c r="H924" s="1"/>
      <c r="I924" s="1"/>
    </row>
    <row r="925" spans="3:9" x14ac:dyDescent="0.25">
      <c r="C925" s="1">
        <v>8020784</v>
      </c>
      <c r="D925" s="1">
        <v>1531</v>
      </c>
      <c r="E925" s="1" t="s">
        <v>923</v>
      </c>
      <c r="F925" s="1">
        <v>0</v>
      </c>
      <c r="G925" s="1" t="s">
        <v>96</v>
      </c>
      <c r="H925" s="1"/>
      <c r="I925" s="1"/>
    </row>
    <row r="926" spans="3:9" x14ac:dyDescent="0.25">
      <c r="C926" s="1">
        <v>8020979</v>
      </c>
      <c r="D926" s="1">
        <v>1531</v>
      </c>
      <c r="E926" s="1" t="s">
        <v>924</v>
      </c>
      <c r="F926" s="1">
        <v>0</v>
      </c>
      <c r="G926" s="1" t="s">
        <v>96</v>
      </c>
      <c r="H926" s="1"/>
      <c r="I926" s="1"/>
    </row>
    <row r="927" spans="3:9" x14ac:dyDescent="0.25">
      <c r="C927" s="1">
        <v>8021101</v>
      </c>
      <c r="D927" s="1">
        <v>1531</v>
      </c>
      <c r="E927" s="1" t="s">
        <v>925</v>
      </c>
      <c r="F927" s="1">
        <v>0</v>
      </c>
      <c r="G927" s="1" t="s">
        <v>8</v>
      </c>
      <c r="H927" s="1"/>
      <c r="I927" s="1"/>
    </row>
    <row r="928" spans="3:9" x14ac:dyDescent="0.25">
      <c r="C928" s="1">
        <v>8021729</v>
      </c>
      <c r="D928" s="1">
        <v>1531</v>
      </c>
      <c r="E928" s="1" t="s">
        <v>926</v>
      </c>
      <c r="F928" s="1">
        <v>0</v>
      </c>
      <c r="G928" s="1" t="s">
        <v>96</v>
      </c>
      <c r="H928" s="1"/>
      <c r="I928" s="1"/>
    </row>
    <row r="929" spans="3:9" x14ac:dyDescent="0.25">
      <c r="C929" s="1">
        <v>8021730</v>
      </c>
      <c r="D929" s="1">
        <v>1531</v>
      </c>
      <c r="E929" s="1" t="s">
        <v>927</v>
      </c>
      <c r="F929" s="1">
        <v>0</v>
      </c>
      <c r="G929" s="1" t="s">
        <v>96</v>
      </c>
      <c r="H929" s="1"/>
      <c r="I929" s="1"/>
    </row>
    <row r="930" spans="3:9" x14ac:dyDescent="0.25">
      <c r="C930" s="1">
        <v>8021731</v>
      </c>
      <c r="D930" s="1">
        <v>1531</v>
      </c>
      <c r="E930" s="1" t="s">
        <v>928</v>
      </c>
      <c r="F930" s="1">
        <v>0</v>
      </c>
      <c r="G930" s="1" t="s">
        <v>96</v>
      </c>
      <c r="H930" s="1"/>
      <c r="I930" s="1"/>
    </row>
    <row r="931" spans="3:9" x14ac:dyDescent="0.25">
      <c r="C931" s="1">
        <v>8021732</v>
      </c>
      <c r="D931" s="1">
        <v>1531</v>
      </c>
      <c r="E931" s="1" t="s">
        <v>929</v>
      </c>
      <c r="F931" s="1">
        <v>0</v>
      </c>
      <c r="G931" s="1" t="s">
        <v>96</v>
      </c>
      <c r="H931" s="1"/>
      <c r="I931" s="1"/>
    </row>
    <row r="932" spans="3:9" x14ac:dyDescent="0.25">
      <c r="C932" s="1">
        <v>8021734</v>
      </c>
      <c r="D932" s="1">
        <v>1531</v>
      </c>
      <c r="E932" s="1" t="s">
        <v>930</v>
      </c>
      <c r="F932" s="1">
        <v>0</v>
      </c>
      <c r="G932" s="1" t="s">
        <v>96</v>
      </c>
      <c r="H932" s="1"/>
      <c r="I932" s="1"/>
    </row>
    <row r="933" spans="3:9" x14ac:dyDescent="0.25">
      <c r="C933" s="1">
        <v>8022651</v>
      </c>
      <c r="D933" s="1">
        <v>1531</v>
      </c>
      <c r="E933" s="1" t="s">
        <v>931</v>
      </c>
      <c r="F933" s="1">
        <v>0</v>
      </c>
      <c r="G933" s="1" t="s">
        <v>96</v>
      </c>
      <c r="H933" s="1"/>
      <c r="I933" s="1"/>
    </row>
    <row r="934" spans="3:9" x14ac:dyDescent="0.25">
      <c r="C934" s="1">
        <v>8022770</v>
      </c>
      <c r="D934" s="1">
        <v>1531</v>
      </c>
      <c r="E934" s="1" t="s">
        <v>932</v>
      </c>
      <c r="F934" s="1">
        <v>658</v>
      </c>
      <c r="G934" s="1" t="s">
        <v>96</v>
      </c>
      <c r="H934" s="1"/>
      <c r="I934" s="1"/>
    </row>
    <row r="935" spans="3:9" x14ac:dyDescent="0.25">
      <c r="C935" s="1">
        <v>8022786</v>
      </c>
      <c r="D935" s="1">
        <v>1531</v>
      </c>
      <c r="E935" s="1" t="s">
        <v>933</v>
      </c>
      <c r="F935" s="1">
        <v>0</v>
      </c>
      <c r="G935" s="1" t="s">
        <v>8</v>
      </c>
      <c r="H935" s="1"/>
      <c r="I935" s="1"/>
    </row>
    <row r="936" spans="3:9" x14ac:dyDescent="0.25">
      <c r="C936" s="1">
        <v>8023383</v>
      </c>
      <c r="D936" s="1">
        <v>1531</v>
      </c>
      <c r="E936" s="1" t="s">
        <v>934</v>
      </c>
      <c r="F936" s="1">
        <v>0</v>
      </c>
      <c r="G936" s="1" t="s">
        <v>8</v>
      </c>
      <c r="H936" s="1"/>
      <c r="I936" s="1"/>
    </row>
    <row r="937" spans="3:9" x14ac:dyDescent="0.25">
      <c r="C937" s="1">
        <v>8023650</v>
      </c>
      <c r="D937" s="1">
        <v>1531</v>
      </c>
      <c r="E937" s="1" t="s">
        <v>935</v>
      </c>
      <c r="F937" s="1">
        <v>0</v>
      </c>
      <c r="G937" s="1" t="s">
        <v>96</v>
      </c>
      <c r="H937" s="1"/>
      <c r="I937" s="1"/>
    </row>
    <row r="938" spans="3:9" x14ac:dyDescent="0.25">
      <c r="C938" s="1">
        <v>8023859</v>
      </c>
      <c r="D938" s="1">
        <v>1531</v>
      </c>
      <c r="E938" s="1" t="s">
        <v>936</v>
      </c>
      <c r="F938" s="1">
        <v>0</v>
      </c>
      <c r="G938" s="1" t="s">
        <v>96</v>
      </c>
      <c r="H938" s="1"/>
      <c r="I938" s="1"/>
    </row>
    <row r="939" spans="3:9" x14ac:dyDescent="0.25">
      <c r="C939" s="1">
        <v>8024276</v>
      </c>
      <c r="D939" s="1">
        <v>1531</v>
      </c>
      <c r="E939" s="1" t="s">
        <v>937</v>
      </c>
      <c r="F939" s="1">
        <v>0</v>
      </c>
      <c r="G939" s="1" t="s">
        <v>96</v>
      </c>
      <c r="H939" s="1"/>
      <c r="I939" s="1"/>
    </row>
    <row r="940" spans="3:9" x14ac:dyDescent="0.25">
      <c r="C940" s="1">
        <v>8024277</v>
      </c>
      <c r="D940" s="1">
        <v>1531</v>
      </c>
      <c r="E940" s="1" t="s">
        <v>938</v>
      </c>
      <c r="F940" s="1">
        <v>1159</v>
      </c>
      <c r="G940" s="1" t="s">
        <v>96</v>
      </c>
      <c r="H940" s="1"/>
      <c r="I940" s="1"/>
    </row>
    <row r="941" spans="3:9" x14ac:dyDescent="0.25">
      <c r="C941" s="1">
        <v>8024278</v>
      </c>
      <c r="D941" s="1">
        <v>1531</v>
      </c>
      <c r="E941" s="1" t="s">
        <v>939</v>
      </c>
      <c r="F941" s="1">
        <v>652</v>
      </c>
      <c r="G941" s="1" t="s">
        <v>96</v>
      </c>
      <c r="H941" s="1"/>
      <c r="I941" s="1"/>
    </row>
    <row r="942" spans="3:9" x14ac:dyDescent="0.25">
      <c r="C942" s="1">
        <v>8024350</v>
      </c>
      <c r="D942" s="1">
        <v>1531</v>
      </c>
      <c r="E942" s="1" t="s">
        <v>940</v>
      </c>
      <c r="F942" s="1">
        <v>0</v>
      </c>
      <c r="G942" s="1" t="s">
        <v>96</v>
      </c>
      <c r="H942" s="1"/>
      <c r="I942" s="1"/>
    </row>
    <row r="943" spans="3:9" x14ac:dyDescent="0.25">
      <c r="C943" s="1">
        <v>8024351</v>
      </c>
      <c r="D943" s="1">
        <v>1531</v>
      </c>
      <c r="E943" s="1" t="s">
        <v>941</v>
      </c>
      <c r="F943" s="1">
        <v>690</v>
      </c>
      <c r="G943" s="1" t="s">
        <v>96</v>
      </c>
      <c r="H943" s="1"/>
      <c r="I943" s="1"/>
    </row>
    <row r="944" spans="3:9" x14ac:dyDescent="0.25">
      <c r="C944" s="1">
        <v>8024352</v>
      </c>
      <c r="D944" s="1">
        <v>1531</v>
      </c>
      <c r="E944" s="1" t="s">
        <v>942</v>
      </c>
      <c r="F944" s="1">
        <v>0</v>
      </c>
      <c r="G944" s="1" t="s">
        <v>96</v>
      </c>
      <c r="H944" s="1"/>
      <c r="I944" s="1"/>
    </row>
    <row r="945" spans="3:9" x14ac:dyDescent="0.25">
      <c r="C945" s="1">
        <v>8024405</v>
      </c>
      <c r="D945" s="1">
        <v>1531</v>
      </c>
      <c r="E945" s="1" t="s">
        <v>943</v>
      </c>
      <c r="F945" s="1">
        <v>0</v>
      </c>
      <c r="G945" s="1" t="s">
        <v>96</v>
      </c>
      <c r="H945" s="1"/>
      <c r="I945" s="1"/>
    </row>
    <row r="946" spans="3:9" x14ac:dyDescent="0.25">
      <c r="C946" s="1">
        <v>8024608</v>
      </c>
      <c r="D946" s="1">
        <v>1531</v>
      </c>
      <c r="E946" s="1" t="s">
        <v>944</v>
      </c>
      <c r="F946" s="1">
        <v>0</v>
      </c>
      <c r="G946" s="1" t="s">
        <v>8</v>
      </c>
      <c r="H946" s="1"/>
      <c r="I946" s="1"/>
    </row>
    <row r="947" spans="3:9" x14ac:dyDescent="0.25">
      <c r="C947" s="1">
        <v>8024621</v>
      </c>
      <c r="D947" s="1">
        <v>1531</v>
      </c>
      <c r="E947" s="1" t="s">
        <v>945</v>
      </c>
      <c r="F947" s="1">
        <v>0</v>
      </c>
      <c r="G947" s="1" t="s">
        <v>8</v>
      </c>
      <c r="H947" s="1"/>
      <c r="I947" s="1"/>
    </row>
    <row r="948" spans="3:9" x14ac:dyDescent="0.25">
      <c r="C948" s="1">
        <v>8024622</v>
      </c>
      <c r="D948" s="1">
        <v>1531</v>
      </c>
      <c r="E948" s="1" t="s">
        <v>946</v>
      </c>
      <c r="F948" s="1">
        <v>0</v>
      </c>
      <c r="G948" s="1" t="s">
        <v>8</v>
      </c>
      <c r="H948" s="1"/>
      <c r="I948" s="1"/>
    </row>
    <row r="949" spans="3:9" x14ac:dyDescent="0.25">
      <c r="C949" s="1">
        <v>8024623</v>
      </c>
      <c r="D949" s="1">
        <v>1531</v>
      </c>
      <c r="E949" s="1" t="s">
        <v>947</v>
      </c>
      <c r="F949" s="1">
        <v>0</v>
      </c>
      <c r="G949" s="1" t="s">
        <v>8</v>
      </c>
      <c r="H949" s="1"/>
      <c r="I949" s="1"/>
    </row>
    <row r="950" spans="3:9" x14ac:dyDescent="0.25">
      <c r="C950" s="1">
        <v>8024681</v>
      </c>
      <c r="D950" s="1">
        <v>1531</v>
      </c>
      <c r="E950" s="1" t="s">
        <v>948</v>
      </c>
      <c r="F950" s="1">
        <v>0</v>
      </c>
      <c r="G950" s="1" t="s">
        <v>8</v>
      </c>
      <c r="H950" s="1"/>
      <c r="I950" s="1"/>
    </row>
    <row r="951" spans="3:9" x14ac:dyDescent="0.25">
      <c r="C951" s="1">
        <v>8025149</v>
      </c>
      <c r="D951" s="1">
        <v>1531</v>
      </c>
      <c r="E951" s="1" t="s">
        <v>949</v>
      </c>
      <c r="F951" s="1">
        <v>0</v>
      </c>
      <c r="G951" s="1" t="s">
        <v>8</v>
      </c>
      <c r="H951" s="1"/>
      <c r="I951" s="1"/>
    </row>
    <row r="952" spans="3:9" x14ac:dyDescent="0.25">
      <c r="C952" s="1">
        <v>8025381</v>
      </c>
      <c r="D952" s="1">
        <v>1531</v>
      </c>
      <c r="E952" s="1" t="s">
        <v>950</v>
      </c>
      <c r="F952" s="1">
        <v>0</v>
      </c>
      <c r="G952" s="1" t="s">
        <v>96</v>
      </c>
      <c r="H952" s="1"/>
      <c r="I952" s="1"/>
    </row>
    <row r="953" spans="3:9" x14ac:dyDescent="0.25">
      <c r="C953" s="1">
        <v>8025702</v>
      </c>
      <c r="D953" s="1">
        <v>1531</v>
      </c>
      <c r="E953" s="1" t="s">
        <v>951</v>
      </c>
      <c r="F953" s="1">
        <v>0</v>
      </c>
      <c r="G953" s="1" t="s">
        <v>8</v>
      </c>
      <c r="H953" s="1"/>
      <c r="I953" s="1"/>
    </row>
    <row r="954" spans="3:9" x14ac:dyDescent="0.25">
      <c r="C954" s="1">
        <v>8025703</v>
      </c>
      <c r="D954" s="1">
        <v>1531</v>
      </c>
      <c r="E954" s="1" t="s">
        <v>952</v>
      </c>
      <c r="F954" s="1">
        <v>1024</v>
      </c>
      <c r="G954" s="1" t="s">
        <v>96</v>
      </c>
      <c r="H954" s="1"/>
      <c r="I954" s="1"/>
    </row>
    <row r="955" spans="3:9" x14ac:dyDescent="0.25">
      <c r="C955" s="1">
        <v>8025777</v>
      </c>
      <c r="D955" s="1">
        <v>1531</v>
      </c>
      <c r="E955" s="1" t="s">
        <v>953</v>
      </c>
      <c r="F955" s="1">
        <v>860</v>
      </c>
      <c r="G955" s="1" t="s">
        <v>96</v>
      </c>
      <c r="H955" s="1"/>
      <c r="I955" s="1"/>
    </row>
    <row r="956" spans="3:9" x14ac:dyDescent="0.25">
      <c r="C956" s="1">
        <v>8026094</v>
      </c>
      <c r="D956" s="1">
        <v>1531</v>
      </c>
      <c r="E956" s="1" t="s">
        <v>954</v>
      </c>
      <c r="F956" s="1">
        <v>0</v>
      </c>
      <c r="G956" s="1" t="s">
        <v>8</v>
      </c>
      <c r="H956" s="1"/>
      <c r="I956" s="1"/>
    </row>
    <row r="957" spans="3:9" x14ac:dyDescent="0.25">
      <c r="C957" s="1">
        <v>8026095</v>
      </c>
      <c r="D957" s="1">
        <v>1531</v>
      </c>
      <c r="E957" s="1" t="s">
        <v>955</v>
      </c>
      <c r="F957" s="1">
        <v>0</v>
      </c>
      <c r="G957" s="1" t="s">
        <v>96</v>
      </c>
      <c r="H957" s="1"/>
      <c r="I957" s="1"/>
    </row>
    <row r="958" spans="3:9" x14ac:dyDescent="0.25">
      <c r="C958" s="1">
        <v>8026136</v>
      </c>
      <c r="D958" s="1">
        <v>1531</v>
      </c>
      <c r="E958" s="1" t="s">
        <v>956</v>
      </c>
      <c r="F958" s="1">
        <v>0</v>
      </c>
      <c r="G958" s="1" t="s">
        <v>96</v>
      </c>
      <c r="H958" s="1"/>
      <c r="I958" s="1"/>
    </row>
    <row r="959" spans="3:9" x14ac:dyDescent="0.25">
      <c r="C959" s="1">
        <v>8026191</v>
      </c>
      <c r="D959" s="1">
        <v>1531</v>
      </c>
      <c r="E959" s="1" t="s">
        <v>957</v>
      </c>
      <c r="F959" s="1">
        <v>0</v>
      </c>
      <c r="G959" s="1" t="s">
        <v>8</v>
      </c>
      <c r="H959" s="1"/>
      <c r="I959" s="1"/>
    </row>
    <row r="960" spans="3:9" x14ac:dyDescent="0.25">
      <c r="C960" s="1">
        <v>8026194</v>
      </c>
      <c r="D960" s="1">
        <v>1531</v>
      </c>
      <c r="E960" s="1" t="s">
        <v>958</v>
      </c>
      <c r="F960" s="1">
        <v>0</v>
      </c>
      <c r="G960" s="1" t="s">
        <v>8</v>
      </c>
      <c r="H960" s="1"/>
      <c r="I960" s="1"/>
    </row>
    <row r="961" spans="3:9" x14ac:dyDescent="0.25">
      <c r="C961" s="1">
        <v>8026628</v>
      </c>
      <c r="D961" s="1">
        <v>1531</v>
      </c>
      <c r="E961" s="1" t="s">
        <v>959</v>
      </c>
      <c r="F961" s="1">
        <v>1344</v>
      </c>
      <c r="G961" s="1" t="s">
        <v>96</v>
      </c>
      <c r="H961" s="1"/>
      <c r="I961" s="1"/>
    </row>
    <row r="962" spans="3:9" x14ac:dyDescent="0.25">
      <c r="C962" s="1">
        <v>8027225</v>
      </c>
      <c r="D962" s="1">
        <v>1531</v>
      </c>
      <c r="E962" s="1" t="s">
        <v>960</v>
      </c>
      <c r="F962" s="1">
        <v>0</v>
      </c>
      <c r="G962" s="1" t="s">
        <v>96</v>
      </c>
      <c r="H962" s="1"/>
      <c r="I962" s="1"/>
    </row>
    <row r="963" spans="3:9" x14ac:dyDescent="0.25">
      <c r="C963" s="1">
        <v>8027227</v>
      </c>
      <c r="D963" s="1">
        <v>1531</v>
      </c>
      <c r="E963" s="1" t="s">
        <v>961</v>
      </c>
      <c r="F963" s="1">
        <v>0</v>
      </c>
      <c r="G963" s="1" t="s">
        <v>96</v>
      </c>
      <c r="H963" s="1"/>
      <c r="I963" s="1"/>
    </row>
    <row r="964" spans="3:9" x14ac:dyDescent="0.25">
      <c r="C964" s="1">
        <v>8027291</v>
      </c>
      <c r="D964" s="1">
        <v>1531</v>
      </c>
      <c r="E964" s="1" t="s">
        <v>962</v>
      </c>
      <c r="F964" s="1">
        <v>0</v>
      </c>
      <c r="G964" s="1" t="s">
        <v>8</v>
      </c>
      <c r="H964" s="1"/>
      <c r="I964" s="1"/>
    </row>
    <row r="965" spans="3:9" x14ac:dyDescent="0.25">
      <c r="C965" s="1">
        <v>8027294</v>
      </c>
      <c r="D965" s="1">
        <v>1531</v>
      </c>
      <c r="E965" s="1" t="s">
        <v>963</v>
      </c>
      <c r="F965" s="1">
        <v>0</v>
      </c>
      <c r="G965" s="1" t="s">
        <v>8</v>
      </c>
      <c r="H965" s="1"/>
      <c r="I965" s="1"/>
    </row>
    <row r="966" spans="3:9" x14ac:dyDescent="0.25">
      <c r="C966" s="1">
        <v>8027306</v>
      </c>
      <c r="D966" s="1">
        <v>1531</v>
      </c>
      <c r="E966" s="1" t="s">
        <v>964</v>
      </c>
      <c r="F966" s="1">
        <v>0</v>
      </c>
      <c r="G966" s="1" t="s">
        <v>8</v>
      </c>
      <c r="H966" s="1"/>
      <c r="I966" s="1"/>
    </row>
    <row r="967" spans="3:9" x14ac:dyDescent="0.25">
      <c r="C967" s="1">
        <v>8027318</v>
      </c>
      <c r="D967" s="1">
        <v>1531</v>
      </c>
      <c r="E967" s="1" t="s">
        <v>965</v>
      </c>
      <c r="F967" s="1">
        <v>1366</v>
      </c>
      <c r="G967" s="1" t="s">
        <v>96</v>
      </c>
      <c r="H967" s="1"/>
      <c r="I967" s="1"/>
    </row>
    <row r="968" spans="3:9" x14ac:dyDescent="0.25">
      <c r="C968" s="1">
        <v>8027994</v>
      </c>
      <c r="D968" s="1">
        <v>1531</v>
      </c>
      <c r="E968" s="1" t="s">
        <v>966</v>
      </c>
      <c r="F968" s="1">
        <v>0</v>
      </c>
      <c r="G968" s="1" t="s">
        <v>96</v>
      </c>
      <c r="H968" s="1"/>
      <c r="I968" s="1"/>
    </row>
    <row r="969" spans="3:9" x14ac:dyDescent="0.25">
      <c r="C969" s="1">
        <v>8028073</v>
      </c>
      <c r="D969" s="1">
        <v>1531</v>
      </c>
      <c r="E969" s="1" t="s">
        <v>967</v>
      </c>
      <c r="F969" s="1">
        <v>603</v>
      </c>
      <c r="G969" s="1" t="s">
        <v>96</v>
      </c>
      <c r="H969" s="1"/>
      <c r="I969" s="1"/>
    </row>
    <row r="970" spans="3:9" x14ac:dyDescent="0.25">
      <c r="C970" s="1">
        <v>8028074</v>
      </c>
      <c r="D970" s="1">
        <v>1531</v>
      </c>
      <c r="E970" s="1" t="s">
        <v>968</v>
      </c>
      <c r="F970" s="1">
        <v>0</v>
      </c>
      <c r="G970" s="1" t="s">
        <v>96</v>
      </c>
      <c r="H970" s="1"/>
      <c r="I970" s="1"/>
    </row>
    <row r="971" spans="3:9" x14ac:dyDescent="0.25">
      <c r="C971" s="1">
        <v>8028075</v>
      </c>
      <c r="D971" s="1">
        <v>1531</v>
      </c>
      <c r="E971" s="1" t="s">
        <v>969</v>
      </c>
      <c r="F971" s="1">
        <v>0</v>
      </c>
      <c r="G971" s="1" t="s">
        <v>8</v>
      </c>
      <c r="H971" s="1"/>
      <c r="I971" s="1"/>
    </row>
    <row r="972" spans="3:9" x14ac:dyDescent="0.25">
      <c r="C972" s="1">
        <v>8028076</v>
      </c>
      <c r="D972" s="1">
        <v>1531</v>
      </c>
      <c r="E972" s="1" t="s">
        <v>970</v>
      </c>
      <c r="F972" s="1">
        <v>0</v>
      </c>
      <c r="G972" s="1" t="s">
        <v>8</v>
      </c>
      <c r="H972" s="1"/>
      <c r="I972" s="1"/>
    </row>
    <row r="973" spans="3:9" x14ac:dyDescent="0.25">
      <c r="C973" s="1">
        <v>8028077</v>
      </c>
      <c r="D973" s="1">
        <v>1531</v>
      </c>
      <c r="E973" s="1" t="s">
        <v>901</v>
      </c>
      <c r="F973" s="1">
        <v>679</v>
      </c>
      <c r="G973" s="1" t="s">
        <v>96</v>
      </c>
      <c r="H973" s="1"/>
      <c r="I973" s="1"/>
    </row>
    <row r="974" spans="3:9" x14ac:dyDescent="0.25">
      <c r="C974" s="1">
        <v>8028078</v>
      </c>
      <c r="D974" s="1">
        <v>1531</v>
      </c>
      <c r="E974" s="1" t="s">
        <v>971</v>
      </c>
      <c r="F974" s="1">
        <v>1869</v>
      </c>
      <c r="G974" s="1" t="s">
        <v>96</v>
      </c>
      <c r="H974" s="1"/>
      <c r="I974" s="1"/>
    </row>
    <row r="975" spans="3:9" x14ac:dyDescent="0.25">
      <c r="C975" s="1">
        <v>8028079</v>
      </c>
      <c r="D975" s="1">
        <v>1531</v>
      </c>
      <c r="E975" s="1" t="s">
        <v>972</v>
      </c>
      <c r="F975" s="1">
        <v>1376</v>
      </c>
      <c r="G975" s="1" t="s">
        <v>96</v>
      </c>
      <c r="H975" s="1"/>
      <c r="I975" s="1"/>
    </row>
    <row r="976" spans="3:9" x14ac:dyDescent="0.25">
      <c r="C976" s="1">
        <v>8028080</v>
      </c>
      <c r="D976" s="1">
        <v>1531</v>
      </c>
      <c r="E976" s="1" t="s">
        <v>973</v>
      </c>
      <c r="F976" s="1">
        <v>0</v>
      </c>
      <c r="G976" s="1" t="s">
        <v>96</v>
      </c>
      <c r="H976" s="1"/>
      <c r="I976" s="1"/>
    </row>
    <row r="977" spans="3:9" x14ac:dyDescent="0.25">
      <c r="C977" s="1">
        <v>8028081</v>
      </c>
      <c r="D977" s="1">
        <v>1531</v>
      </c>
      <c r="E977" s="1" t="s">
        <v>911</v>
      </c>
      <c r="F977" s="1">
        <v>627</v>
      </c>
      <c r="G977" s="1" t="s">
        <v>96</v>
      </c>
      <c r="H977" s="1"/>
      <c r="I977" s="1"/>
    </row>
    <row r="978" spans="3:9" x14ac:dyDescent="0.25">
      <c r="C978" s="1">
        <v>8028082</v>
      </c>
      <c r="D978" s="1">
        <v>1531</v>
      </c>
      <c r="E978" s="1" t="s">
        <v>914</v>
      </c>
      <c r="F978" s="1">
        <v>1166</v>
      </c>
      <c r="G978" s="1" t="s">
        <v>96</v>
      </c>
      <c r="H978" s="1"/>
      <c r="I978" s="1"/>
    </row>
    <row r="979" spans="3:9" x14ac:dyDescent="0.25">
      <c r="C979" s="1">
        <v>8028083</v>
      </c>
      <c r="D979" s="1">
        <v>1531</v>
      </c>
      <c r="E979" s="1" t="s">
        <v>974</v>
      </c>
      <c r="F979" s="1">
        <v>400</v>
      </c>
      <c r="G979" s="1" t="s">
        <v>8</v>
      </c>
      <c r="H979" s="1"/>
      <c r="I979" s="1"/>
    </row>
    <row r="980" spans="3:9" x14ac:dyDescent="0.25">
      <c r="C980" s="1">
        <v>8028084</v>
      </c>
      <c r="D980" s="1">
        <v>1531</v>
      </c>
      <c r="E980" s="1" t="s">
        <v>926</v>
      </c>
      <c r="F980" s="1">
        <v>782</v>
      </c>
      <c r="G980" s="1" t="s">
        <v>96</v>
      </c>
      <c r="H980" s="1"/>
      <c r="I980" s="1"/>
    </row>
    <row r="981" spans="3:9" x14ac:dyDescent="0.25">
      <c r="C981" s="1">
        <v>8028085</v>
      </c>
      <c r="D981" s="1">
        <v>1531</v>
      </c>
      <c r="E981" s="1" t="s">
        <v>927</v>
      </c>
      <c r="F981" s="1">
        <v>506</v>
      </c>
      <c r="G981" s="1" t="s">
        <v>96</v>
      </c>
      <c r="H981" s="1"/>
      <c r="I981" s="1"/>
    </row>
    <row r="982" spans="3:9" x14ac:dyDescent="0.25">
      <c r="C982" s="1">
        <v>8028086</v>
      </c>
      <c r="D982" s="1">
        <v>1531</v>
      </c>
      <c r="E982" s="1" t="s">
        <v>928</v>
      </c>
      <c r="F982" s="1">
        <v>849</v>
      </c>
      <c r="G982" s="1" t="s">
        <v>96</v>
      </c>
      <c r="H982" s="1"/>
      <c r="I982" s="1"/>
    </row>
    <row r="983" spans="3:9" x14ac:dyDescent="0.25">
      <c r="C983" s="1">
        <v>8028087</v>
      </c>
      <c r="D983" s="1">
        <v>1531</v>
      </c>
      <c r="E983" s="1" t="s">
        <v>929</v>
      </c>
      <c r="F983" s="1">
        <v>0</v>
      </c>
      <c r="G983" s="1" t="s">
        <v>96</v>
      </c>
      <c r="H983" s="1"/>
      <c r="I983" s="1"/>
    </row>
    <row r="984" spans="3:9" x14ac:dyDescent="0.25">
      <c r="C984" s="1">
        <v>8028088</v>
      </c>
      <c r="D984" s="1">
        <v>1531</v>
      </c>
      <c r="E984" s="1" t="s">
        <v>930</v>
      </c>
      <c r="F984" s="1">
        <v>1033</v>
      </c>
      <c r="G984" s="1" t="s">
        <v>96</v>
      </c>
      <c r="H984" s="1"/>
      <c r="I984" s="1"/>
    </row>
    <row r="985" spans="3:9" x14ac:dyDescent="0.25">
      <c r="C985" s="1">
        <v>8028089</v>
      </c>
      <c r="D985" s="1">
        <v>1531</v>
      </c>
      <c r="E985" s="1" t="s">
        <v>940</v>
      </c>
      <c r="F985" s="1">
        <v>838</v>
      </c>
      <c r="G985" s="1" t="s">
        <v>96</v>
      </c>
      <c r="H985" s="1"/>
      <c r="I985" s="1"/>
    </row>
    <row r="986" spans="3:9" x14ac:dyDescent="0.25">
      <c r="C986" s="1">
        <v>8028090</v>
      </c>
      <c r="D986" s="1">
        <v>1531</v>
      </c>
      <c r="E986" s="1" t="s">
        <v>975</v>
      </c>
      <c r="F986" s="1">
        <v>0</v>
      </c>
      <c r="G986" s="1" t="s">
        <v>8</v>
      </c>
      <c r="H986" s="1"/>
      <c r="I986" s="1"/>
    </row>
    <row r="987" spans="3:9" x14ac:dyDescent="0.25">
      <c r="C987" s="1">
        <v>8028091</v>
      </c>
      <c r="D987" s="1">
        <v>1531</v>
      </c>
      <c r="E987" s="1" t="s">
        <v>950</v>
      </c>
      <c r="F987" s="1">
        <v>105</v>
      </c>
      <c r="G987" s="1" t="s">
        <v>96</v>
      </c>
      <c r="H987" s="1"/>
      <c r="I987" s="1"/>
    </row>
    <row r="988" spans="3:9" x14ac:dyDescent="0.25">
      <c r="C988" s="1">
        <v>8028092</v>
      </c>
      <c r="D988" s="1">
        <v>1531</v>
      </c>
      <c r="E988" s="1" t="s">
        <v>976</v>
      </c>
      <c r="F988" s="1">
        <v>0</v>
      </c>
      <c r="G988" s="1" t="s">
        <v>8</v>
      </c>
      <c r="H988" s="1"/>
      <c r="I988" s="1"/>
    </row>
    <row r="989" spans="3:9" x14ac:dyDescent="0.25">
      <c r="C989" s="1">
        <v>8028093</v>
      </c>
      <c r="D989" s="1">
        <v>1531</v>
      </c>
      <c r="E989" s="1" t="s">
        <v>956</v>
      </c>
      <c r="F989" s="1">
        <v>0</v>
      </c>
      <c r="G989" s="1" t="s">
        <v>96</v>
      </c>
      <c r="H989" s="1"/>
      <c r="I989" s="1"/>
    </row>
    <row r="990" spans="3:9" x14ac:dyDescent="0.25">
      <c r="C990" s="1">
        <v>8028164</v>
      </c>
      <c r="D990" s="1">
        <v>1531</v>
      </c>
      <c r="E990" s="1" t="s">
        <v>977</v>
      </c>
      <c r="F990" s="1">
        <v>0</v>
      </c>
      <c r="G990" s="1" t="s">
        <v>96</v>
      </c>
      <c r="H990" s="1"/>
      <c r="I990" s="1"/>
    </row>
    <row r="991" spans="3:9" x14ac:dyDescent="0.25">
      <c r="C991" s="1">
        <v>8028165</v>
      </c>
      <c r="D991" s="1">
        <v>1531</v>
      </c>
      <c r="E991" s="1" t="s">
        <v>978</v>
      </c>
      <c r="F991" s="1">
        <v>0</v>
      </c>
      <c r="G991" s="1" t="s">
        <v>96</v>
      </c>
      <c r="H991" s="1"/>
      <c r="I991" s="1"/>
    </row>
    <row r="992" spans="3:9" x14ac:dyDescent="0.25">
      <c r="C992" s="1">
        <v>8028235</v>
      </c>
      <c r="D992" s="1">
        <v>1531</v>
      </c>
      <c r="E992" s="1" t="s">
        <v>979</v>
      </c>
      <c r="F992" s="1">
        <v>0</v>
      </c>
      <c r="G992" s="1" t="s">
        <v>8</v>
      </c>
      <c r="H992" s="1"/>
      <c r="I992" s="1"/>
    </row>
    <row r="993" spans="3:9" x14ac:dyDescent="0.25">
      <c r="C993" s="1">
        <v>8028867</v>
      </c>
      <c r="D993" s="1">
        <v>1531</v>
      </c>
      <c r="E993" s="1" t="s">
        <v>980</v>
      </c>
      <c r="F993" s="1">
        <v>0</v>
      </c>
      <c r="G993" s="1" t="s">
        <v>8</v>
      </c>
      <c r="H993" s="1"/>
      <c r="I993" s="1"/>
    </row>
    <row r="994" spans="3:9" x14ac:dyDescent="0.25">
      <c r="C994" s="1">
        <v>8028899</v>
      </c>
      <c r="D994" s="1">
        <v>1531</v>
      </c>
      <c r="E994" s="1" t="s">
        <v>981</v>
      </c>
      <c r="F994" s="1">
        <v>0</v>
      </c>
      <c r="G994" s="1" t="s">
        <v>8</v>
      </c>
      <c r="H994" s="1"/>
      <c r="I994" s="1"/>
    </row>
    <row r="995" spans="3:9" x14ac:dyDescent="0.25">
      <c r="C995" s="1">
        <v>8028928</v>
      </c>
      <c r="D995" s="1">
        <v>1531</v>
      </c>
      <c r="E995" s="1" t="s">
        <v>982</v>
      </c>
      <c r="F995" s="1">
        <v>0</v>
      </c>
      <c r="G995" s="1" t="s">
        <v>96</v>
      </c>
      <c r="H995" s="1"/>
      <c r="I995" s="1"/>
    </row>
    <row r="996" spans="3:9" x14ac:dyDescent="0.25">
      <c r="C996" s="1">
        <v>8028929</v>
      </c>
      <c r="D996" s="1">
        <v>1531</v>
      </c>
      <c r="E996" s="1" t="s">
        <v>983</v>
      </c>
      <c r="F996" s="1">
        <v>682</v>
      </c>
      <c r="G996" s="1" t="s">
        <v>96</v>
      </c>
      <c r="H996" s="1"/>
      <c r="I996" s="1"/>
    </row>
    <row r="997" spans="3:9" x14ac:dyDescent="0.25">
      <c r="C997" s="1">
        <v>8029260</v>
      </c>
      <c r="D997" s="1">
        <v>1531</v>
      </c>
      <c r="E997" s="1" t="s">
        <v>984</v>
      </c>
      <c r="F997" s="1">
        <v>0</v>
      </c>
      <c r="G997" s="1" t="s">
        <v>8</v>
      </c>
      <c r="H997" s="1"/>
      <c r="I997" s="1"/>
    </row>
    <row r="998" spans="3:9" x14ac:dyDescent="0.25">
      <c r="C998" s="1">
        <v>8029320</v>
      </c>
      <c r="D998" s="1">
        <v>1531</v>
      </c>
      <c r="E998" s="1" t="s">
        <v>985</v>
      </c>
      <c r="F998" s="1">
        <v>0</v>
      </c>
      <c r="G998" s="1" t="s">
        <v>8</v>
      </c>
      <c r="H998" s="1"/>
      <c r="I998" s="1"/>
    </row>
    <row r="999" spans="3:9" x14ac:dyDescent="0.25">
      <c r="C999" s="1">
        <v>8029341</v>
      </c>
      <c r="D999" s="1">
        <v>1531</v>
      </c>
      <c r="E999" s="1" t="s">
        <v>986</v>
      </c>
      <c r="F999" s="1">
        <v>0</v>
      </c>
      <c r="G999" s="1" t="s">
        <v>8</v>
      </c>
      <c r="H999" s="1"/>
      <c r="I999" s="1"/>
    </row>
    <row r="1000" spans="3:9" x14ac:dyDescent="0.25">
      <c r="C1000" s="1">
        <v>8029381</v>
      </c>
      <c r="D1000" s="1">
        <v>1531</v>
      </c>
      <c r="E1000" s="1" t="s">
        <v>987</v>
      </c>
      <c r="F1000" s="1">
        <v>0</v>
      </c>
      <c r="G1000" s="1" t="s">
        <v>8</v>
      </c>
      <c r="H1000" s="1"/>
      <c r="I1000" s="1"/>
    </row>
    <row r="1001" spans="3:9" x14ac:dyDescent="0.25">
      <c r="C1001" s="1">
        <v>8029400</v>
      </c>
      <c r="D1001" s="1">
        <v>1531</v>
      </c>
      <c r="E1001" s="1" t="s">
        <v>988</v>
      </c>
      <c r="F1001" s="1">
        <v>1689</v>
      </c>
      <c r="G1001" s="1" t="s">
        <v>8</v>
      </c>
      <c r="H1001" s="1"/>
      <c r="I1001" s="1"/>
    </row>
    <row r="1002" spans="3:9" x14ac:dyDescent="0.25">
      <c r="C1002" s="1">
        <v>8029414</v>
      </c>
      <c r="D1002" s="1">
        <v>1531</v>
      </c>
      <c r="E1002" s="1" t="s">
        <v>989</v>
      </c>
      <c r="F1002" s="1">
        <v>7</v>
      </c>
      <c r="G1002" s="1" t="s">
        <v>8</v>
      </c>
      <c r="H1002" s="1"/>
      <c r="I1002" s="1"/>
    </row>
    <row r="1003" spans="3:9" x14ac:dyDescent="0.25">
      <c r="C1003" s="1">
        <v>8029494</v>
      </c>
      <c r="D1003" s="1">
        <v>1531</v>
      </c>
      <c r="E1003" s="1" t="s">
        <v>990</v>
      </c>
      <c r="F1003" s="1">
        <v>1687</v>
      </c>
      <c r="G1003" s="1" t="s">
        <v>96</v>
      </c>
      <c r="H1003" s="1"/>
      <c r="I1003" s="1"/>
    </row>
    <row r="1004" spans="3:9" x14ac:dyDescent="0.25">
      <c r="C1004" s="1">
        <v>8029496</v>
      </c>
      <c r="D1004" s="1">
        <v>1531</v>
      </c>
      <c r="E1004" s="1" t="s">
        <v>991</v>
      </c>
      <c r="F1004" s="1">
        <v>0</v>
      </c>
      <c r="G1004" s="1" t="s">
        <v>96</v>
      </c>
      <c r="H1004" s="1"/>
      <c r="I1004" s="1"/>
    </row>
    <row r="1005" spans="3:9" x14ac:dyDescent="0.25">
      <c r="C1005" s="1">
        <v>8029499</v>
      </c>
      <c r="D1005" s="1">
        <v>1531</v>
      </c>
      <c r="E1005" s="1" t="s">
        <v>992</v>
      </c>
      <c r="F1005" s="1">
        <v>1134</v>
      </c>
      <c r="G1005" s="1" t="s">
        <v>96</v>
      </c>
      <c r="H1005" s="1"/>
      <c r="I1005" s="1"/>
    </row>
    <row r="1006" spans="3:9" x14ac:dyDescent="0.25">
      <c r="C1006" s="1">
        <v>8029539</v>
      </c>
      <c r="D1006" s="1">
        <v>1531</v>
      </c>
      <c r="E1006" s="1" t="s">
        <v>993</v>
      </c>
      <c r="F1006" s="1">
        <v>0</v>
      </c>
      <c r="G1006" s="1" t="s">
        <v>8</v>
      </c>
      <c r="H1006" s="1"/>
      <c r="I1006" s="1"/>
    </row>
    <row r="1007" spans="3:9" x14ac:dyDescent="0.25">
      <c r="C1007" s="1">
        <v>8029541</v>
      </c>
      <c r="D1007" s="1">
        <v>1531</v>
      </c>
      <c r="E1007" s="1" t="s">
        <v>994</v>
      </c>
      <c r="F1007" s="1">
        <v>0</v>
      </c>
      <c r="G1007" s="1" t="s">
        <v>8</v>
      </c>
      <c r="H1007" s="1"/>
      <c r="I1007" s="1"/>
    </row>
    <row r="1008" spans="3:9" x14ac:dyDescent="0.25">
      <c r="C1008" s="1">
        <v>8029543</v>
      </c>
      <c r="D1008" s="1">
        <v>1531</v>
      </c>
      <c r="E1008" s="1" t="s">
        <v>995</v>
      </c>
      <c r="F1008" s="1">
        <v>0</v>
      </c>
      <c r="G1008" s="1" t="s">
        <v>8</v>
      </c>
      <c r="H1008" s="1"/>
      <c r="I1008" s="1"/>
    </row>
    <row r="1009" spans="3:9" x14ac:dyDescent="0.25">
      <c r="C1009" s="1">
        <v>8029544</v>
      </c>
      <c r="D1009" s="1">
        <v>1531</v>
      </c>
      <c r="E1009" s="1" t="s">
        <v>996</v>
      </c>
      <c r="F1009" s="1">
        <v>0</v>
      </c>
      <c r="G1009" s="1" t="s">
        <v>8</v>
      </c>
      <c r="H1009" s="1"/>
      <c r="I1009" s="1"/>
    </row>
    <row r="1010" spans="3:9" x14ac:dyDescent="0.25">
      <c r="C1010" s="1">
        <v>8029980</v>
      </c>
      <c r="D1010" s="1">
        <v>1531</v>
      </c>
      <c r="E1010" s="1" t="s">
        <v>997</v>
      </c>
      <c r="F1010" s="1">
        <v>0</v>
      </c>
      <c r="G1010" s="1" t="s">
        <v>96</v>
      </c>
      <c r="H1010" s="1"/>
      <c r="I1010" s="1"/>
    </row>
    <row r="1011" spans="3:9" x14ac:dyDescent="0.25">
      <c r="C1011" s="1">
        <v>8030230</v>
      </c>
      <c r="D1011" s="1">
        <v>1531</v>
      </c>
      <c r="E1011" s="1" t="s">
        <v>998</v>
      </c>
      <c r="F1011" s="1">
        <v>0</v>
      </c>
      <c r="G1011" s="1" t="s">
        <v>96</v>
      </c>
      <c r="H1011" s="1"/>
      <c r="I1011" s="1"/>
    </row>
    <row r="1012" spans="3:9" x14ac:dyDescent="0.25">
      <c r="C1012" s="1">
        <v>8030231</v>
      </c>
      <c r="D1012" s="1">
        <v>1531</v>
      </c>
      <c r="E1012" s="1" t="s">
        <v>999</v>
      </c>
      <c r="F1012" s="1">
        <v>0</v>
      </c>
      <c r="G1012" s="1" t="s">
        <v>96</v>
      </c>
      <c r="H1012" s="1"/>
      <c r="I1012" s="1"/>
    </row>
    <row r="1013" spans="3:9" x14ac:dyDescent="0.25">
      <c r="C1013" s="1">
        <v>8030338</v>
      </c>
      <c r="D1013" s="1">
        <v>1531</v>
      </c>
      <c r="E1013" s="1" t="s">
        <v>1000</v>
      </c>
      <c r="F1013" s="1">
        <v>0</v>
      </c>
      <c r="G1013" s="1" t="s">
        <v>8</v>
      </c>
      <c r="H1013" s="1"/>
      <c r="I1013" s="1"/>
    </row>
    <row r="1014" spans="3:9" x14ac:dyDescent="0.25">
      <c r="C1014" s="1">
        <v>8030417</v>
      </c>
      <c r="D1014" s="1">
        <v>1531</v>
      </c>
      <c r="E1014" s="1" t="s">
        <v>1001</v>
      </c>
      <c r="F1014" s="1">
        <v>689</v>
      </c>
      <c r="G1014" s="1" t="s">
        <v>8</v>
      </c>
      <c r="H1014" s="1"/>
      <c r="I1014" s="1"/>
    </row>
    <row r="1015" spans="3:9" x14ac:dyDescent="0.25">
      <c r="C1015" s="1">
        <v>8030418</v>
      </c>
      <c r="D1015" s="1">
        <v>1531</v>
      </c>
      <c r="E1015" s="1" t="s">
        <v>1002</v>
      </c>
      <c r="F1015" s="1">
        <v>0</v>
      </c>
      <c r="G1015" s="1" t="s">
        <v>8</v>
      </c>
      <c r="H1015" s="1"/>
      <c r="I1015" s="1"/>
    </row>
    <row r="1016" spans="3:9" x14ac:dyDescent="0.25">
      <c r="C1016" s="1">
        <v>8030419</v>
      </c>
      <c r="D1016" s="1">
        <v>1531</v>
      </c>
      <c r="E1016" s="1" t="s">
        <v>1003</v>
      </c>
      <c r="F1016" s="1">
        <v>0</v>
      </c>
      <c r="G1016" s="1" t="s">
        <v>8</v>
      </c>
      <c r="H1016" s="1"/>
      <c r="I1016" s="1"/>
    </row>
    <row r="1017" spans="3:9" x14ac:dyDescent="0.25">
      <c r="C1017" s="1">
        <v>8030428</v>
      </c>
      <c r="D1017" s="1">
        <v>1531</v>
      </c>
      <c r="E1017" s="1" t="s">
        <v>1004</v>
      </c>
      <c r="F1017" s="1">
        <v>4669</v>
      </c>
      <c r="G1017" s="1" t="s">
        <v>8</v>
      </c>
      <c r="H1017" s="1"/>
      <c r="I1017" s="1"/>
    </row>
    <row r="1018" spans="3:9" x14ac:dyDescent="0.25">
      <c r="C1018" s="1">
        <v>8030476</v>
      </c>
      <c r="D1018" s="1">
        <v>1531</v>
      </c>
      <c r="E1018" s="1" t="s">
        <v>1005</v>
      </c>
      <c r="F1018" s="1">
        <v>0</v>
      </c>
      <c r="G1018" s="1" t="s">
        <v>8</v>
      </c>
      <c r="H1018" s="1"/>
      <c r="I1018" s="1"/>
    </row>
    <row r="1019" spans="3:9" x14ac:dyDescent="0.25">
      <c r="C1019" s="1">
        <v>8030838</v>
      </c>
      <c r="D1019" s="1">
        <v>1531</v>
      </c>
      <c r="E1019" s="1" t="s">
        <v>1006</v>
      </c>
      <c r="F1019" s="1">
        <v>0</v>
      </c>
      <c r="G1019" s="1" t="s">
        <v>8</v>
      </c>
      <c r="H1019" s="1"/>
      <c r="I1019" s="1"/>
    </row>
    <row r="1020" spans="3:9" x14ac:dyDescent="0.25">
      <c r="C1020" s="1">
        <v>8030944</v>
      </c>
      <c r="D1020" s="1">
        <v>1531</v>
      </c>
      <c r="E1020" s="1" t="s">
        <v>1007</v>
      </c>
      <c r="F1020" s="1">
        <v>1081</v>
      </c>
      <c r="G1020" s="1" t="s">
        <v>96</v>
      </c>
      <c r="H1020" s="1"/>
      <c r="I1020" s="1"/>
    </row>
    <row r="1021" spans="3:9" x14ac:dyDescent="0.25">
      <c r="C1021" s="1">
        <v>8031003</v>
      </c>
      <c r="D1021" s="1">
        <v>1531</v>
      </c>
      <c r="E1021" s="1" t="s">
        <v>1008</v>
      </c>
      <c r="F1021" s="1">
        <v>0</v>
      </c>
      <c r="G1021" s="1" t="s">
        <v>8</v>
      </c>
      <c r="H1021" s="1"/>
      <c r="I1021" s="1"/>
    </row>
    <row r="1022" spans="3:9" x14ac:dyDescent="0.25">
      <c r="C1022" s="1">
        <v>8031004</v>
      </c>
      <c r="D1022" s="1">
        <v>1531</v>
      </c>
      <c r="E1022" s="1" t="s">
        <v>1009</v>
      </c>
      <c r="F1022" s="1">
        <v>0</v>
      </c>
      <c r="G1022" s="1" t="s">
        <v>8</v>
      </c>
      <c r="H1022" s="1"/>
      <c r="I1022" s="1"/>
    </row>
    <row r="1023" spans="3:9" x14ac:dyDescent="0.25">
      <c r="C1023" s="1">
        <v>8031137</v>
      </c>
      <c r="D1023" s="1">
        <v>1531</v>
      </c>
      <c r="E1023" s="1" t="s">
        <v>1010</v>
      </c>
      <c r="F1023" s="1">
        <v>0</v>
      </c>
      <c r="G1023" s="1" t="s">
        <v>8</v>
      </c>
      <c r="H1023" s="1"/>
      <c r="I1023" s="1"/>
    </row>
    <row r="1024" spans="3:9" x14ac:dyDescent="0.25">
      <c r="C1024" s="1">
        <v>8031138</v>
      </c>
      <c r="D1024" s="1">
        <v>1531</v>
      </c>
      <c r="E1024" s="1" t="s">
        <v>1011</v>
      </c>
      <c r="F1024" s="1">
        <v>0</v>
      </c>
      <c r="G1024" s="1" t="s">
        <v>8</v>
      </c>
      <c r="H1024" s="1"/>
      <c r="I1024" s="1"/>
    </row>
    <row r="1025" spans="3:9" x14ac:dyDescent="0.25">
      <c r="C1025" s="1">
        <v>8031149</v>
      </c>
      <c r="D1025" s="1">
        <v>1531</v>
      </c>
      <c r="E1025" s="1" t="s">
        <v>1012</v>
      </c>
      <c r="F1025" s="1">
        <v>1470</v>
      </c>
      <c r="G1025" s="1" t="s">
        <v>8</v>
      </c>
      <c r="H1025" s="1"/>
      <c r="I1025" s="1"/>
    </row>
    <row r="1026" spans="3:9" x14ac:dyDescent="0.25">
      <c r="C1026" s="1">
        <v>8031150</v>
      </c>
      <c r="D1026" s="1">
        <v>1531</v>
      </c>
      <c r="E1026" s="1" t="s">
        <v>1013</v>
      </c>
      <c r="F1026" s="1">
        <v>915</v>
      </c>
      <c r="G1026" s="1" t="s">
        <v>8</v>
      </c>
      <c r="H1026" s="1"/>
      <c r="I1026" s="1"/>
    </row>
    <row r="1027" spans="3:9" x14ac:dyDescent="0.25">
      <c r="C1027" s="1">
        <v>8031151</v>
      </c>
      <c r="D1027" s="1">
        <v>1531</v>
      </c>
      <c r="E1027" s="1" t="s">
        <v>1014</v>
      </c>
      <c r="F1027" s="1">
        <v>0</v>
      </c>
      <c r="G1027" s="1" t="s">
        <v>96</v>
      </c>
      <c r="H1027" s="1"/>
      <c r="I1027" s="1"/>
    </row>
    <row r="1028" spans="3:9" x14ac:dyDescent="0.25">
      <c r="C1028" s="1">
        <v>8031276</v>
      </c>
      <c r="D1028" s="1">
        <v>1531</v>
      </c>
      <c r="E1028" s="1" t="s">
        <v>1015</v>
      </c>
      <c r="F1028" s="1">
        <v>0</v>
      </c>
      <c r="G1028" s="1" t="s">
        <v>96</v>
      </c>
      <c r="H1028" s="1"/>
      <c r="I1028" s="1"/>
    </row>
    <row r="1029" spans="3:9" x14ac:dyDescent="0.25">
      <c r="C1029" s="1">
        <v>8031277</v>
      </c>
      <c r="D1029" s="1">
        <v>1531</v>
      </c>
      <c r="E1029" s="1" t="s">
        <v>1016</v>
      </c>
      <c r="F1029" s="1">
        <v>0</v>
      </c>
      <c r="G1029" s="1" t="s">
        <v>96</v>
      </c>
      <c r="H1029" s="1"/>
      <c r="I1029" s="1"/>
    </row>
    <row r="1030" spans="3:9" x14ac:dyDescent="0.25">
      <c r="C1030" s="1">
        <v>8031278</v>
      </c>
      <c r="D1030" s="1">
        <v>1531</v>
      </c>
      <c r="E1030" s="1" t="s">
        <v>1017</v>
      </c>
      <c r="F1030" s="1">
        <v>0</v>
      </c>
      <c r="G1030" s="1" t="s">
        <v>96</v>
      </c>
      <c r="H1030" s="1"/>
      <c r="I1030" s="1"/>
    </row>
    <row r="1031" spans="3:9" x14ac:dyDescent="0.25">
      <c r="C1031" s="1">
        <v>8031295</v>
      </c>
      <c r="D1031" s="1">
        <v>1531</v>
      </c>
      <c r="E1031" s="1" t="s">
        <v>1018</v>
      </c>
      <c r="F1031" s="1">
        <v>306</v>
      </c>
      <c r="G1031" s="1" t="s">
        <v>96</v>
      </c>
      <c r="H1031" s="1"/>
      <c r="I1031" s="1"/>
    </row>
    <row r="1032" spans="3:9" x14ac:dyDescent="0.25">
      <c r="C1032" s="1">
        <v>8031381</v>
      </c>
      <c r="D1032" s="1">
        <v>1531</v>
      </c>
      <c r="E1032" s="1" t="s">
        <v>1019</v>
      </c>
      <c r="F1032" s="1">
        <v>321</v>
      </c>
      <c r="G1032" s="1" t="s">
        <v>96</v>
      </c>
      <c r="H1032" s="1"/>
      <c r="I1032" s="1"/>
    </row>
    <row r="1033" spans="3:9" x14ac:dyDescent="0.25">
      <c r="C1033" s="1">
        <v>8031382</v>
      </c>
      <c r="D1033" s="1">
        <v>1531</v>
      </c>
      <c r="E1033" s="1" t="s">
        <v>1020</v>
      </c>
      <c r="F1033" s="1">
        <v>79</v>
      </c>
      <c r="G1033" s="1" t="s">
        <v>96</v>
      </c>
      <c r="H1033" s="1"/>
      <c r="I1033" s="1"/>
    </row>
    <row r="1034" spans="3:9" x14ac:dyDescent="0.25">
      <c r="C1034" s="1">
        <v>8031383</v>
      </c>
      <c r="D1034" s="1">
        <v>1531</v>
      </c>
      <c r="E1034" s="1" t="s">
        <v>1021</v>
      </c>
      <c r="F1034" s="1">
        <v>600</v>
      </c>
      <c r="G1034" s="1" t="s">
        <v>96</v>
      </c>
      <c r="H1034" s="1"/>
      <c r="I1034" s="1"/>
    </row>
    <row r="1035" spans="3:9" x14ac:dyDescent="0.25">
      <c r="C1035" s="1">
        <v>8031384</v>
      </c>
      <c r="D1035" s="1">
        <v>1531</v>
      </c>
      <c r="E1035" s="1" t="s">
        <v>1022</v>
      </c>
      <c r="F1035" s="1">
        <v>0</v>
      </c>
      <c r="G1035" s="1" t="s">
        <v>96</v>
      </c>
      <c r="H1035" s="1"/>
      <c r="I1035" s="1"/>
    </row>
    <row r="1036" spans="3:9" x14ac:dyDescent="0.25">
      <c r="C1036" s="1">
        <v>8031663</v>
      </c>
      <c r="D1036" s="1">
        <v>1531</v>
      </c>
      <c r="E1036" s="1" t="s">
        <v>1023</v>
      </c>
      <c r="F1036" s="1">
        <v>0</v>
      </c>
      <c r="G1036" s="1" t="s">
        <v>96</v>
      </c>
      <c r="H1036" s="1"/>
      <c r="I1036" s="1"/>
    </row>
    <row r="1037" spans="3:9" x14ac:dyDescent="0.25">
      <c r="C1037" s="1">
        <v>8032075</v>
      </c>
      <c r="D1037" s="1">
        <v>1531</v>
      </c>
      <c r="E1037" s="1" t="s">
        <v>1024</v>
      </c>
      <c r="F1037" s="1">
        <v>0</v>
      </c>
      <c r="G1037" s="1" t="s">
        <v>96</v>
      </c>
      <c r="H1037" s="1"/>
      <c r="I1037" s="1"/>
    </row>
    <row r="1038" spans="3:9" x14ac:dyDescent="0.25">
      <c r="C1038" s="1">
        <v>8032595</v>
      </c>
      <c r="D1038" s="1">
        <v>1531</v>
      </c>
      <c r="E1038" s="1" t="s">
        <v>1025</v>
      </c>
      <c r="F1038" s="1">
        <v>2414</v>
      </c>
      <c r="G1038" s="1" t="s">
        <v>8</v>
      </c>
      <c r="H1038" s="1"/>
      <c r="I1038" s="1"/>
    </row>
    <row r="1039" spans="3:9" x14ac:dyDescent="0.25">
      <c r="C1039" s="1">
        <v>8032925</v>
      </c>
      <c r="D1039" s="1">
        <v>1531</v>
      </c>
      <c r="E1039" s="1" t="s">
        <v>1026</v>
      </c>
      <c r="F1039" s="1">
        <v>12</v>
      </c>
      <c r="G1039" s="1" t="s">
        <v>8</v>
      </c>
      <c r="H1039" s="1"/>
      <c r="I1039" s="1"/>
    </row>
    <row r="1040" spans="3:9" x14ac:dyDescent="0.25">
      <c r="C1040" s="1">
        <v>8032927</v>
      </c>
      <c r="D1040" s="1">
        <v>1531</v>
      </c>
      <c r="E1040" s="1" t="s">
        <v>1027</v>
      </c>
      <c r="F1040" s="1">
        <v>0</v>
      </c>
      <c r="G1040" s="1" t="s">
        <v>8</v>
      </c>
      <c r="H1040" s="1"/>
      <c r="I1040" s="1"/>
    </row>
    <row r="1041" spans="3:9" x14ac:dyDescent="0.25">
      <c r="C1041" s="1">
        <v>8032928</v>
      </c>
      <c r="D1041" s="1">
        <v>1531</v>
      </c>
      <c r="E1041" s="1" t="s">
        <v>1028</v>
      </c>
      <c r="F1041" s="1">
        <v>3336</v>
      </c>
      <c r="G1041" s="1" t="s">
        <v>8</v>
      </c>
      <c r="H1041" s="1"/>
      <c r="I1041" s="1"/>
    </row>
    <row r="1042" spans="3:9" x14ac:dyDescent="0.25">
      <c r="C1042" s="1">
        <v>8032943</v>
      </c>
      <c r="D1042" s="1">
        <v>1531</v>
      </c>
      <c r="E1042" s="1" t="s">
        <v>1029</v>
      </c>
      <c r="F1042" s="1">
        <v>0</v>
      </c>
      <c r="G1042" s="1" t="s">
        <v>96</v>
      </c>
      <c r="H1042" s="1"/>
      <c r="I1042" s="1"/>
    </row>
    <row r="1043" spans="3:9" x14ac:dyDescent="0.25">
      <c r="C1043" s="1">
        <v>8032945</v>
      </c>
      <c r="D1043" s="1">
        <v>1531</v>
      </c>
      <c r="E1043" s="1" t="s">
        <v>1030</v>
      </c>
      <c r="F1043" s="1">
        <v>0</v>
      </c>
      <c r="G1043" s="1" t="s">
        <v>96</v>
      </c>
      <c r="H1043" s="1"/>
      <c r="I1043" s="1"/>
    </row>
    <row r="1044" spans="3:9" x14ac:dyDescent="0.25">
      <c r="C1044" s="1">
        <v>8032946</v>
      </c>
      <c r="D1044" s="1">
        <v>1531</v>
      </c>
      <c r="E1044" s="1" t="s">
        <v>1031</v>
      </c>
      <c r="F1044" s="1">
        <v>0</v>
      </c>
      <c r="G1044" s="1" t="s">
        <v>96</v>
      </c>
      <c r="H1044" s="1"/>
      <c r="I1044" s="1"/>
    </row>
    <row r="1045" spans="3:9" x14ac:dyDescent="0.25">
      <c r="C1045" s="1">
        <v>8032993</v>
      </c>
      <c r="D1045" s="1">
        <v>1531</v>
      </c>
      <c r="E1045" s="1" t="s">
        <v>1032</v>
      </c>
      <c r="F1045" s="1">
        <v>403</v>
      </c>
      <c r="G1045" s="1" t="s">
        <v>8</v>
      </c>
      <c r="H1045" s="1"/>
      <c r="I1045" s="1"/>
    </row>
    <row r="1046" spans="3:9" x14ac:dyDescent="0.25">
      <c r="C1046" s="1">
        <v>8032994</v>
      </c>
      <c r="D1046" s="1">
        <v>1531</v>
      </c>
      <c r="E1046" s="1" t="s">
        <v>1033</v>
      </c>
      <c r="F1046" s="1">
        <v>0</v>
      </c>
      <c r="G1046" s="1" t="s">
        <v>8</v>
      </c>
      <c r="H1046" s="1"/>
      <c r="I1046" s="1"/>
    </row>
    <row r="1047" spans="3:9" x14ac:dyDescent="0.25">
      <c r="C1047" s="1">
        <v>8033206</v>
      </c>
      <c r="D1047" s="1">
        <v>1531</v>
      </c>
      <c r="E1047" s="1" t="s">
        <v>1034</v>
      </c>
      <c r="F1047" s="1">
        <v>0</v>
      </c>
      <c r="G1047" s="1" t="s">
        <v>8</v>
      </c>
      <c r="H1047" s="1"/>
      <c r="I1047" s="1"/>
    </row>
    <row r="1048" spans="3:9" x14ac:dyDescent="0.25">
      <c r="C1048" s="1">
        <v>8033446</v>
      </c>
      <c r="D1048" s="1">
        <v>1531</v>
      </c>
      <c r="E1048" s="1" t="s">
        <v>1035</v>
      </c>
      <c r="F1048" s="1">
        <v>0</v>
      </c>
      <c r="G1048" s="1" t="s">
        <v>8</v>
      </c>
      <c r="H1048" s="1"/>
      <c r="I1048" s="1"/>
    </row>
    <row r="1049" spans="3:9" x14ac:dyDescent="0.25">
      <c r="C1049" s="1">
        <v>8033659</v>
      </c>
      <c r="D1049" s="1">
        <v>1531</v>
      </c>
      <c r="E1049" s="1" t="s">
        <v>1036</v>
      </c>
      <c r="F1049" s="1">
        <v>0</v>
      </c>
      <c r="G1049" s="1" t="s">
        <v>96</v>
      </c>
      <c r="H1049" s="1"/>
      <c r="I1049" s="1"/>
    </row>
    <row r="1050" spans="3:9" x14ac:dyDescent="0.25">
      <c r="C1050" s="1">
        <v>8033660</v>
      </c>
      <c r="D1050" s="1">
        <v>1531</v>
      </c>
      <c r="E1050" s="1" t="s">
        <v>1037</v>
      </c>
      <c r="F1050" s="1">
        <v>0</v>
      </c>
      <c r="G1050" s="1" t="s">
        <v>96</v>
      </c>
      <c r="H1050" s="1"/>
      <c r="I1050" s="1"/>
    </row>
    <row r="1051" spans="3:9" x14ac:dyDescent="0.25">
      <c r="C1051" s="1">
        <v>8033661</v>
      </c>
      <c r="D1051" s="1">
        <v>1531</v>
      </c>
      <c r="E1051" s="1" t="s">
        <v>1038</v>
      </c>
      <c r="F1051" s="1">
        <v>0</v>
      </c>
      <c r="G1051" s="1" t="s">
        <v>96</v>
      </c>
      <c r="H1051" s="1"/>
      <c r="I1051" s="1"/>
    </row>
    <row r="1052" spans="3:9" x14ac:dyDescent="0.25">
      <c r="C1052" s="1">
        <v>8033662</v>
      </c>
      <c r="D1052" s="1">
        <v>1531</v>
      </c>
      <c r="E1052" s="1" t="s">
        <v>1039</v>
      </c>
      <c r="F1052" s="1">
        <v>0</v>
      </c>
      <c r="G1052" s="1" t="s">
        <v>96</v>
      </c>
      <c r="H1052" s="1"/>
      <c r="I1052" s="1"/>
    </row>
    <row r="1053" spans="3:9" x14ac:dyDescent="0.25">
      <c r="C1053" s="1">
        <v>8033663</v>
      </c>
      <c r="D1053" s="1">
        <v>1531</v>
      </c>
      <c r="E1053" s="1" t="s">
        <v>1040</v>
      </c>
      <c r="F1053" s="1">
        <v>0</v>
      </c>
      <c r="G1053" s="1" t="s">
        <v>96</v>
      </c>
      <c r="H1053" s="1"/>
      <c r="I1053" s="1"/>
    </row>
    <row r="1054" spans="3:9" x14ac:dyDescent="0.25">
      <c r="C1054" s="1">
        <v>8033784</v>
      </c>
      <c r="D1054" s="1">
        <v>1531</v>
      </c>
      <c r="E1054" s="1" t="s">
        <v>1041</v>
      </c>
      <c r="F1054" s="1">
        <v>0</v>
      </c>
      <c r="G1054" s="1" t="s">
        <v>8</v>
      </c>
      <c r="H1054" s="1"/>
      <c r="I1054" s="1"/>
    </row>
    <row r="1055" spans="3:9" x14ac:dyDescent="0.25">
      <c r="C1055" s="1">
        <v>8034601</v>
      </c>
      <c r="D1055" s="1">
        <v>1531</v>
      </c>
      <c r="E1055" s="1" t="s">
        <v>1042</v>
      </c>
      <c r="F1055" s="1">
        <v>1528</v>
      </c>
      <c r="G1055" s="1" t="s">
        <v>8</v>
      </c>
      <c r="H1055" s="1"/>
      <c r="I1055" s="1"/>
    </row>
    <row r="1056" spans="3:9" x14ac:dyDescent="0.25">
      <c r="C1056" s="1">
        <v>8034700</v>
      </c>
      <c r="D1056" s="1">
        <v>1531</v>
      </c>
      <c r="E1056" s="1" t="s">
        <v>1043</v>
      </c>
      <c r="F1056" s="1">
        <v>430</v>
      </c>
      <c r="G1056" s="1" t="s">
        <v>8</v>
      </c>
      <c r="H1056" s="1"/>
      <c r="I1056" s="1"/>
    </row>
    <row r="1057" spans="3:9" x14ac:dyDescent="0.25">
      <c r="C1057" s="1">
        <v>8034703</v>
      </c>
      <c r="D1057" s="1">
        <v>1531</v>
      </c>
      <c r="E1057" s="1" t="s">
        <v>1044</v>
      </c>
      <c r="F1057" s="1">
        <v>382</v>
      </c>
      <c r="G1057" s="1" t="s">
        <v>96</v>
      </c>
      <c r="H1057" s="1"/>
      <c r="I1057" s="1"/>
    </row>
    <row r="1058" spans="3:9" x14ac:dyDescent="0.25">
      <c r="C1058" s="1">
        <v>8034704</v>
      </c>
      <c r="D1058" s="1">
        <v>1531</v>
      </c>
      <c r="E1058" s="1" t="s">
        <v>1045</v>
      </c>
      <c r="F1058" s="1">
        <v>0</v>
      </c>
      <c r="G1058" s="1" t="s">
        <v>96</v>
      </c>
      <c r="H1058" s="1"/>
      <c r="I1058" s="1"/>
    </row>
    <row r="1059" spans="3:9" x14ac:dyDescent="0.25">
      <c r="C1059" s="1">
        <v>8034705</v>
      </c>
      <c r="D1059" s="1">
        <v>1531</v>
      </c>
      <c r="E1059" s="1" t="s">
        <v>1046</v>
      </c>
      <c r="F1059" s="1">
        <v>445</v>
      </c>
      <c r="G1059" s="1" t="s">
        <v>96</v>
      </c>
      <c r="H1059" s="1"/>
      <c r="I1059" s="1"/>
    </row>
    <row r="1060" spans="3:9" x14ac:dyDescent="0.25">
      <c r="C1060" s="1">
        <v>8035350</v>
      </c>
      <c r="D1060" s="1">
        <v>1531</v>
      </c>
      <c r="E1060" s="1" t="s">
        <v>1047</v>
      </c>
      <c r="F1060" s="1">
        <v>0</v>
      </c>
      <c r="G1060" s="1" t="s">
        <v>8</v>
      </c>
      <c r="H1060" s="1"/>
      <c r="I1060" s="1"/>
    </row>
    <row r="1061" spans="3:9" x14ac:dyDescent="0.25">
      <c r="C1061" s="1">
        <v>8035653</v>
      </c>
      <c r="D1061" s="1">
        <v>1531</v>
      </c>
      <c r="E1061" s="1" t="s">
        <v>1048</v>
      </c>
      <c r="F1061" s="1">
        <v>0</v>
      </c>
      <c r="G1061" s="1" t="s">
        <v>8</v>
      </c>
      <c r="H1061" s="1"/>
      <c r="I1061" s="1"/>
    </row>
    <row r="1062" spans="3:9" x14ac:dyDescent="0.25">
      <c r="C1062" s="1">
        <v>8035679</v>
      </c>
      <c r="D1062" s="1">
        <v>1531</v>
      </c>
      <c r="E1062" s="1" t="s">
        <v>1049</v>
      </c>
      <c r="F1062" s="1">
        <v>0</v>
      </c>
      <c r="G1062" s="1" t="s">
        <v>8</v>
      </c>
      <c r="H1062" s="1"/>
      <c r="I1062" s="1"/>
    </row>
    <row r="1063" spans="3:9" x14ac:dyDescent="0.25">
      <c r="C1063" s="1">
        <v>8035808</v>
      </c>
      <c r="D1063" s="1">
        <v>1531</v>
      </c>
      <c r="E1063" s="1" t="s">
        <v>1050</v>
      </c>
      <c r="F1063" s="1">
        <v>0</v>
      </c>
      <c r="G1063" s="1" t="s">
        <v>8</v>
      </c>
      <c r="H1063" s="1"/>
      <c r="I1063" s="1"/>
    </row>
    <row r="1064" spans="3:9" x14ac:dyDescent="0.25">
      <c r="C1064" s="1">
        <v>8036083</v>
      </c>
      <c r="D1064" s="1">
        <v>1531</v>
      </c>
      <c r="E1064" s="1" t="s">
        <v>1051</v>
      </c>
      <c r="F1064" s="1">
        <v>1006</v>
      </c>
      <c r="G1064" s="1" t="s">
        <v>96</v>
      </c>
      <c r="H1064" s="1"/>
      <c r="I1064" s="1"/>
    </row>
    <row r="1065" spans="3:9" x14ac:dyDescent="0.25">
      <c r="C1065" s="1">
        <v>8036537</v>
      </c>
      <c r="D1065" s="1">
        <v>1531</v>
      </c>
      <c r="E1065" s="1" t="s">
        <v>1052</v>
      </c>
      <c r="F1065" s="1">
        <v>0</v>
      </c>
      <c r="G1065" s="1" t="s">
        <v>96</v>
      </c>
      <c r="H1065" s="1"/>
      <c r="I1065" s="1"/>
    </row>
    <row r="1066" spans="3:9" x14ac:dyDescent="0.25">
      <c r="C1066" s="1">
        <v>8036538</v>
      </c>
      <c r="D1066" s="1">
        <v>1531</v>
      </c>
      <c r="E1066" s="1" t="s">
        <v>1053</v>
      </c>
      <c r="F1066" s="1">
        <v>0</v>
      </c>
      <c r="G1066" s="1" t="s">
        <v>96</v>
      </c>
      <c r="H1066" s="1"/>
      <c r="I1066" s="1"/>
    </row>
    <row r="1067" spans="3:9" x14ac:dyDescent="0.25">
      <c r="C1067" s="1">
        <v>8036539</v>
      </c>
      <c r="D1067" s="1">
        <v>1531</v>
      </c>
      <c r="E1067" s="1" t="s">
        <v>1054</v>
      </c>
      <c r="F1067" s="1">
        <v>0</v>
      </c>
      <c r="G1067" s="1" t="s">
        <v>96</v>
      </c>
      <c r="H1067" s="1"/>
      <c r="I1067" s="1"/>
    </row>
    <row r="1068" spans="3:9" x14ac:dyDescent="0.25">
      <c r="C1068" s="1">
        <v>8036661</v>
      </c>
      <c r="D1068" s="1">
        <v>1531</v>
      </c>
      <c r="E1068" s="1" t="s">
        <v>1055</v>
      </c>
      <c r="F1068" s="1">
        <v>0</v>
      </c>
      <c r="G1068" s="1" t="s">
        <v>8</v>
      </c>
      <c r="H1068" s="1"/>
      <c r="I1068" s="1"/>
    </row>
    <row r="1069" spans="3:9" x14ac:dyDescent="0.25">
      <c r="C1069" s="1">
        <v>8037326</v>
      </c>
      <c r="D1069" s="1">
        <v>1531</v>
      </c>
      <c r="E1069" s="1" t="s">
        <v>1056</v>
      </c>
      <c r="F1069" s="1">
        <v>0</v>
      </c>
      <c r="G1069" s="1" t="s">
        <v>96</v>
      </c>
      <c r="H1069" s="1"/>
      <c r="I1069" s="1"/>
    </row>
    <row r="1070" spans="3:9" x14ac:dyDescent="0.25">
      <c r="C1070" s="1">
        <v>8037880</v>
      </c>
      <c r="D1070" s="1">
        <v>1531</v>
      </c>
      <c r="E1070" s="1" t="s">
        <v>1057</v>
      </c>
      <c r="F1070" s="1">
        <v>0</v>
      </c>
      <c r="G1070" s="1" t="s">
        <v>8</v>
      </c>
      <c r="H1070" s="1"/>
      <c r="I1070" s="1"/>
    </row>
    <row r="1071" spans="3:9" x14ac:dyDescent="0.25">
      <c r="C1071" s="1">
        <v>8038010</v>
      </c>
      <c r="D1071" s="1">
        <v>1531</v>
      </c>
      <c r="E1071" s="1" t="s">
        <v>1058</v>
      </c>
      <c r="F1071" s="1">
        <v>0</v>
      </c>
      <c r="G1071" s="1" t="s">
        <v>96</v>
      </c>
      <c r="H1071" s="1"/>
      <c r="I1071" s="1"/>
    </row>
    <row r="1072" spans="3:9" x14ac:dyDescent="0.25">
      <c r="C1072" s="1">
        <v>8038052</v>
      </c>
      <c r="D1072" s="1">
        <v>1531</v>
      </c>
      <c r="E1072" s="1" t="s">
        <v>1059</v>
      </c>
      <c r="F1072" s="1">
        <v>0</v>
      </c>
      <c r="G1072" s="1" t="s">
        <v>8</v>
      </c>
      <c r="H1072" s="1"/>
      <c r="I1072" s="1"/>
    </row>
    <row r="1073" spans="3:9" x14ac:dyDescent="0.25">
      <c r="C1073" s="1">
        <v>8038414</v>
      </c>
      <c r="D1073" s="1">
        <v>1531</v>
      </c>
      <c r="E1073" s="1" t="s">
        <v>1060</v>
      </c>
      <c r="F1073" s="1">
        <v>0</v>
      </c>
      <c r="G1073" s="1" t="s">
        <v>8</v>
      </c>
      <c r="H1073" s="1"/>
      <c r="I1073" s="1"/>
    </row>
    <row r="1074" spans="3:9" x14ac:dyDescent="0.25">
      <c r="C1074" s="1">
        <v>8038476</v>
      </c>
      <c r="D1074" s="1">
        <v>1531</v>
      </c>
      <c r="E1074" s="1" t="s">
        <v>1061</v>
      </c>
      <c r="F1074" s="1">
        <v>0</v>
      </c>
      <c r="G1074" s="1" t="s">
        <v>96</v>
      </c>
      <c r="H1074" s="1"/>
      <c r="I1074" s="1"/>
    </row>
    <row r="1075" spans="3:9" x14ac:dyDescent="0.25">
      <c r="C1075" s="1">
        <v>8038477</v>
      </c>
      <c r="D1075" s="1">
        <v>1531</v>
      </c>
      <c r="E1075" s="1" t="s">
        <v>1062</v>
      </c>
      <c r="F1075" s="1">
        <v>173</v>
      </c>
      <c r="G1075" s="1" t="s">
        <v>96</v>
      </c>
      <c r="H1075" s="1"/>
      <c r="I1075" s="1"/>
    </row>
    <row r="1076" spans="3:9" x14ac:dyDescent="0.25">
      <c r="C1076" s="1">
        <v>8038717</v>
      </c>
      <c r="D1076" s="1">
        <v>1531</v>
      </c>
      <c r="E1076" s="1" t="s">
        <v>1063</v>
      </c>
      <c r="F1076" s="1">
        <v>333</v>
      </c>
      <c r="G1076" s="1" t="s">
        <v>96</v>
      </c>
      <c r="H1076" s="1"/>
      <c r="I1076" s="1"/>
    </row>
    <row r="1077" spans="3:9" x14ac:dyDescent="0.25">
      <c r="C1077" s="1">
        <v>8039243</v>
      </c>
      <c r="D1077" s="1">
        <v>1531</v>
      </c>
      <c r="E1077" s="1" t="s">
        <v>1064</v>
      </c>
      <c r="F1077" s="1">
        <v>0</v>
      </c>
      <c r="G1077" s="1" t="s">
        <v>96</v>
      </c>
      <c r="H1077" s="1"/>
      <c r="I1077" s="1"/>
    </row>
    <row r="1078" spans="3:9" x14ac:dyDescent="0.25">
      <c r="C1078" s="1">
        <v>8039246</v>
      </c>
      <c r="D1078" s="1">
        <v>1531</v>
      </c>
      <c r="E1078" s="1" t="s">
        <v>1065</v>
      </c>
      <c r="F1078" s="1">
        <v>0</v>
      </c>
      <c r="G1078" s="1" t="s">
        <v>8</v>
      </c>
      <c r="H1078" s="1"/>
      <c r="I1078" s="1"/>
    </row>
    <row r="1079" spans="3:9" x14ac:dyDescent="0.25">
      <c r="C1079" s="1">
        <v>8039330</v>
      </c>
      <c r="D1079" s="1">
        <v>1531</v>
      </c>
      <c r="E1079" s="1" t="s">
        <v>1066</v>
      </c>
      <c r="F1079" s="1">
        <v>0</v>
      </c>
      <c r="G1079" s="1" t="s">
        <v>96</v>
      </c>
      <c r="H1079" s="1"/>
      <c r="I1079" s="1"/>
    </row>
    <row r="1080" spans="3:9" x14ac:dyDescent="0.25">
      <c r="C1080" s="1">
        <v>8039331</v>
      </c>
      <c r="D1080" s="1">
        <v>1531</v>
      </c>
      <c r="E1080" s="1" t="s">
        <v>1067</v>
      </c>
      <c r="F1080" s="1">
        <v>0</v>
      </c>
      <c r="G1080" s="1" t="s">
        <v>96</v>
      </c>
      <c r="H1080" s="1"/>
      <c r="I1080" s="1"/>
    </row>
    <row r="1081" spans="3:9" x14ac:dyDescent="0.25">
      <c r="C1081" s="1">
        <v>8039553</v>
      </c>
      <c r="D1081" s="1">
        <v>1531</v>
      </c>
      <c r="E1081" s="1" t="s">
        <v>1068</v>
      </c>
      <c r="F1081" s="1">
        <v>2464</v>
      </c>
      <c r="G1081" s="1" t="s">
        <v>96</v>
      </c>
      <c r="H1081" s="1"/>
      <c r="I1081" s="1"/>
    </row>
    <row r="1082" spans="3:9" x14ac:dyDescent="0.25">
      <c r="C1082" s="1">
        <v>8039690</v>
      </c>
      <c r="D1082" s="1">
        <v>1531</v>
      </c>
      <c r="E1082" s="1" t="s">
        <v>1069</v>
      </c>
      <c r="F1082" s="1">
        <v>0</v>
      </c>
      <c r="G1082" s="1" t="s">
        <v>96</v>
      </c>
      <c r="H1082" s="1"/>
      <c r="I1082" s="1"/>
    </row>
    <row r="1083" spans="3:9" x14ac:dyDescent="0.25">
      <c r="C1083" s="1">
        <v>8039820</v>
      </c>
      <c r="D1083" s="1">
        <v>1531</v>
      </c>
      <c r="E1083" s="1" t="s">
        <v>1070</v>
      </c>
      <c r="F1083" s="1">
        <v>0</v>
      </c>
      <c r="G1083" s="1" t="s">
        <v>8</v>
      </c>
      <c r="H1083" s="1"/>
      <c r="I1083" s="1"/>
    </row>
    <row r="1084" spans="3:9" x14ac:dyDescent="0.25">
      <c r="C1084" s="1">
        <v>8039821</v>
      </c>
      <c r="D1084" s="1">
        <v>1531</v>
      </c>
      <c r="E1084" s="1" t="s">
        <v>1071</v>
      </c>
      <c r="F1084" s="1">
        <v>0</v>
      </c>
      <c r="G1084" s="1" t="s">
        <v>8</v>
      </c>
      <c r="H1084" s="1"/>
      <c r="I1084" s="1"/>
    </row>
    <row r="1085" spans="3:9" x14ac:dyDescent="0.25">
      <c r="C1085" s="1">
        <v>8039823</v>
      </c>
      <c r="D1085" s="1">
        <v>1531</v>
      </c>
      <c r="E1085" s="1" t="s">
        <v>1072</v>
      </c>
      <c r="F1085" s="1">
        <v>736</v>
      </c>
      <c r="G1085" s="1" t="s">
        <v>96</v>
      </c>
      <c r="H1085" s="1"/>
      <c r="I1085" s="1"/>
    </row>
    <row r="1086" spans="3:9" x14ac:dyDescent="0.25">
      <c r="C1086" s="1">
        <v>8039824</v>
      </c>
      <c r="D1086" s="1">
        <v>1531</v>
      </c>
      <c r="E1086" s="1" t="s">
        <v>1073</v>
      </c>
      <c r="F1086" s="1">
        <v>0</v>
      </c>
      <c r="G1086" s="1" t="s">
        <v>96</v>
      </c>
      <c r="H1086" s="1"/>
      <c r="I1086" s="1"/>
    </row>
    <row r="1087" spans="3:9" x14ac:dyDescent="0.25">
      <c r="C1087" s="1">
        <v>8039828</v>
      </c>
      <c r="D1087" s="1">
        <v>1531</v>
      </c>
      <c r="E1087" s="1" t="s">
        <v>1074</v>
      </c>
      <c r="F1087" s="1">
        <v>2485</v>
      </c>
      <c r="G1087" s="1" t="s">
        <v>96</v>
      </c>
      <c r="H1087" s="1"/>
      <c r="I1087" s="1"/>
    </row>
    <row r="1088" spans="3:9" x14ac:dyDescent="0.25">
      <c r="C1088" s="1">
        <v>8039829</v>
      </c>
      <c r="D1088" s="1">
        <v>1531</v>
      </c>
      <c r="E1088" s="1" t="s">
        <v>1075</v>
      </c>
      <c r="F1088" s="1">
        <v>0</v>
      </c>
      <c r="G1088" s="1" t="s">
        <v>96</v>
      </c>
      <c r="H1088" s="1"/>
      <c r="I1088" s="1"/>
    </row>
    <row r="1089" spans="3:9" x14ac:dyDescent="0.25">
      <c r="C1089" s="1">
        <v>8039830</v>
      </c>
      <c r="D1089" s="1">
        <v>1531</v>
      </c>
      <c r="E1089" s="1" t="s">
        <v>1076</v>
      </c>
      <c r="F1089" s="1">
        <v>1529</v>
      </c>
      <c r="G1089" s="1" t="s">
        <v>96</v>
      </c>
      <c r="H1089" s="1"/>
      <c r="I1089" s="1"/>
    </row>
    <row r="1090" spans="3:9" x14ac:dyDescent="0.25">
      <c r="C1090" s="1">
        <v>8039831</v>
      </c>
      <c r="D1090" s="1">
        <v>1531</v>
      </c>
      <c r="E1090" s="1" t="s">
        <v>1077</v>
      </c>
      <c r="F1090" s="1">
        <v>0</v>
      </c>
      <c r="G1090" s="1" t="s">
        <v>96</v>
      </c>
      <c r="H1090" s="1"/>
      <c r="I1090" s="1"/>
    </row>
    <row r="1091" spans="3:9" x14ac:dyDescent="0.25">
      <c r="C1091" s="1">
        <v>8039845</v>
      </c>
      <c r="D1091" s="1">
        <v>1531</v>
      </c>
      <c r="E1091" s="1" t="s">
        <v>1078</v>
      </c>
      <c r="F1091" s="1">
        <v>0</v>
      </c>
      <c r="G1091" s="1" t="s">
        <v>8</v>
      </c>
      <c r="H1091" s="1"/>
      <c r="I1091" s="1"/>
    </row>
    <row r="1092" spans="3:9" x14ac:dyDescent="0.25">
      <c r="C1092" s="1">
        <v>8039846</v>
      </c>
      <c r="D1092" s="1">
        <v>1531</v>
      </c>
      <c r="E1092" s="1" t="s">
        <v>1079</v>
      </c>
      <c r="F1092" s="1">
        <v>0</v>
      </c>
      <c r="G1092" s="1" t="s">
        <v>8</v>
      </c>
      <c r="H1092" s="1"/>
      <c r="I1092" s="1"/>
    </row>
    <row r="1093" spans="3:9" x14ac:dyDescent="0.25">
      <c r="C1093" s="1">
        <v>8040201</v>
      </c>
      <c r="D1093" s="1">
        <v>1531</v>
      </c>
      <c r="E1093" s="1" t="s">
        <v>1080</v>
      </c>
      <c r="F1093" s="1">
        <v>0</v>
      </c>
      <c r="G1093" s="1" t="s">
        <v>96</v>
      </c>
      <c r="H1093" s="1"/>
      <c r="I1093" s="1"/>
    </row>
    <row r="1094" spans="3:9" x14ac:dyDescent="0.25">
      <c r="C1094" s="1">
        <v>8040202</v>
      </c>
      <c r="D1094" s="1">
        <v>1531</v>
      </c>
      <c r="E1094" s="1" t="s">
        <v>1081</v>
      </c>
      <c r="F1094" s="1">
        <v>0</v>
      </c>
      <c r="G1094" s="1" t="s">
        <v>8</v>
      </c>
      <c r="H1094" s="1"/>
      <c r="I1094" s="1"/>
    </row>
    <row r="1095" spans="3:9" x14ac:dyDescent="0.25">
      <c r="C1095" s="1">
        <v>8040208</v>
      </c>
      <c r="D1095" s="1">
        <v>1531</v>
      </c>
      <c r="E1095" s="1" t="s">
        <v>1082</v>
      </c>
      <c r="F1095" s="1">
        <v>0</v>
      </c>
      <c r="G1095" s="1" t="s">
        <v>8</v>
      </c>
      <c r="H1095" s="1"/>
      <c r="I1095" s="1"/>
    </row>
    <row r="1096" spans="3:9" x14ac:dyDescent="0.25">
      <c r="C1096" s="1">
        <v>8040384</v>
      </c>
      <c r="D1096" s="1">
        <v>1531</v>
      </c>
      <c r="E1096" s="1" t="s">
        <v>1083</v>
      </c>
      <c r="F1096" s="1">
        <v>0</v>
      </c>
      <c r="G1096" s="1" t="s">
        <v>8</v>
      </c>
      <c r="H1096" s="1"/>
      <c r="I1096" s="1"/>
    </row>
    <row r="1097" spans="3:9" x14ac:dyDescent="0.25">
      <c r="C1097" s="1">
        <v>8040549</v>
      </c>
      <c r="D1097" s="1">
        <v>1531</v>
      </c>
      <c r="E1097" s="1" t="s">
        <v>1084</v>
      </c>
      <c r="F1097" s="1">
        <v>983</v>
      </c>
      <c r="G1097" s="1" t="s">
        <v>96</v>
      </c>
      <c r="H1097" s="1"/>
      <c r="I1097" s="1"/>
    </row>
    <row r="1098" spans="3:9" x14ac:dyDescent="0.25">
      <c r="C1098" s="1">
        <v>8040551</v>
      </c>
      <c r="D1098" s="1">
        <v>1531</v>
      </c>
      <c r="E1098" s="1" t="s">
        <v>1085</v>
      </c>
      <c r="F1098" s="1">
        <v>0</v>
      </c>
      <c r="G1098" s="1" t="s">
        <v>8</v>
      </c>
      <c r="H1098" s="1"/>
      <c r="I1098" s="1"/>
    </row>
    <row r="1099" spans="3:9" x14ac:dyDescent="0.25">
      <c r="C1099" s="1">
        <v>8040552</v>
      </c>
      <c r="D1099" s="1">
        <v>1531</v>
      </c>
      <c r="E1099" s="1" t="s">
        <v>1086</v>
      </c>
      <c r="F1099" s="1">
        <v>0</v>
      </c>
      <c r="G1099" s="1" t="s">
        <v>8</v>
      </c>
      <c r="H1099" s="1"/>
      <c r="I1099" s="1"/>
    </row>
    <row r="1100" spans="3:9" x14ac:dyDescent="0.25">
      <c r="C1100" s="1">
        <v>8040603</v>
      </c>
      <c r="D1100" s="1">
        <v>1531</v>
      </c>
      <c r="E1100" s="1" t="s">
        <v>1087</v>
      </c>
      <c r="F1100" s="1">
        <v>0</v>
      </c>
      <c r="G1100" s="1" t="s">
        <v>96</v>
      </c>
      <c r="H1100" s="1"/>
      <c r="I1100" s="1"/>
    </row>
    <row r="1101" spans="3:9" x14ac:dyDescent="0.25">
      <c r="C1101" s="1">
        <v>8040604</v>
      </c>
      <c r="D1101" s="1">
        <v>1531</v>
      </c>
      <c r="E1101" s="1" t="s">
        <v>1088</v>
      </c>
      <c r="F1101" s="1">
        <v>0</v>
      </c>
      <c r="G1101" s="1" t="s">
        <v>96</v>
      </c>
      <c r="H1101" s="1"/>
      <c r="I1101" s="1"/>
    </row>
    <row r="1102" spans="3:9" x14ac:dyDescent="0.25">
      <c r="C1102" s="1">
        <v>8040605</v>
      </c>
      <c r="D1102" s="1">
        <v>1531</v>
      </c>
      <c r="E1102" s="1" t="s">
        <v>1089</v>
      </c>
      <c r="F1102" s="1">
        <v>0</v>
      </c>
      <c r="G1102" s="1" t="s">
        <v>96</v>
      </c>
      <c r="H1102" s="1"/>
      <c r="I1102" s="1"/>
    </row>
    <row r="1103" spans="3:9" x14ac:dyDescent="0.25">
      <c r="C1103" s="1">
        <v>8040737</v>
      </c>
      <c r="D1103" s="1">
        <v>1531</v>
      </c>
      <c r="E1103" s="1" t="s">
        <v>1090</v>
      </c>
      <c r="F1103" s="1">
        <v>757</v>
      </c>
      <c r="G1103" s="1" t="s">
        <v>96</v>
      </c>
      <c r="H1103" s="1"/>
      <c r="I1103" s="1"/>
    </row>
    <row r="1104" spans="3:9" x14ac:dyDescent="0.25">
      <c r="C1104" s="1">
        <v>8040738</v>
      </c>
      <c r="D1104" s="1">
        <v>1531</v>
      </c>
      <c r="E1104" s="1" t="s">
        <v>1091</v>
      </c>
      <c r="F1104" s="1">
        <v>1468</v>
      </c>
      <c r="G1104" s="1" t="s">
        <v>96</v>
      </c>
      <c r="H1104" s="1"/>
      <c r="I1104" s="1"/>
    </row>
    <row r="1105" spans="3:9" x14ac:dyDescent="0.25">
      <c r="C1105" s="1">
        <v>8040739</v>
      </c>
      <c r="D1105" s="1">
        <v>1531</v>
      </c>
      <c r="E1105" s="1" t="s">
        <v>1092</v>
      </c>
      <c r="F1105" s="1">
        <v>0</v>
      </c>
      <c r="G1105" s="1" t="s">
        <v>8</v>
      </c>
      <c r="H1105" s="1"/>
      <c r="I1105" s="1"/>
    </row>
    <row r="1106" spans="3:9" x14ac:dyDescent="0.25">
      <c r="C1106" s="1">
        <v>8040740</v>
      </c>
      <c r="D1106" s="1">
        <v>1531</v>
      </c>
      <c r="E1106" s="1" t="s">
        <v>1093</v>
      </c>
      <c r="F1106" s="1">
        <v>0</v>
      </c>
      <c r="G1106" s="1" t="s">
        <v>8</v>
      </c>
      <c r="H1106" s="1"/>
      <c r="I1106" s="1"/>
    </row>
    <row r="1107" spans="3:9" x14ac:dyDescent="0.25">
      <c r="C1107" s="1">
        <v>8041347</v>
      </c>
      <c r="D1107" s="1">
        <v>1531</v>
      </c>
      <c r="E1107" s="1" t="s">
        <v>1094</v>
      </c>
      <c r="F1107" s="1">
        <v>0</v>
      </c>
      <c r="G1107" s="1" t="s">
        <v>8</v>
      </c>
      <c r="H1107" s="1"/>
      <c r="I1107" s="1"/>
    </row>
    <row r="1108" spans="3:9" x14ac:dyDescent="0.25">
      <c r="C1108" s="1">
        <v>8041350</v>
      </c>
      <c r="D1108" s="1">
        <v>1531</v>
      </c>
      <c r="E1108" s="1" t="s">
        <v>1095</v>
      </c>
      <c r="F1108" s="1">
        <v>768</v>
      </c>
      <c r="G1108" s="1" t="s">
        <v>96</v>
      </c>
      <c r="H1108" s="1"/>
      <c r="I1108" s="1"/>
    </row>
    <row r="1109" spans="3:9" x14ac:dyDescent="0.25">
      <c r="C1109" s="1">
        <v>8041383</v>
      </c>
      <c r="D1109" s="1">
        <v>1531</v>
      </c>
      <c r="E1109" s="1" t="s">
        <v>1096</v>
      </c>
      <c r="F1109" s="1">
        <v>0</v>
      </c>
      <c r="G1109" s="1" t="s">
        <v>8</v>
      </c>
      <c r="H1109" s="1"/>
      <c r="I1109" s="1"/>
    </row>
    <row r="1110" spans="3:9" x14ac:dyDescent="0.25">
      <c r="C1110" s="1">
        <v>8041464</v>
      </c>
      <c r="D1110" s="1">
        <v>1531</v>
      </c>
      <c r="E1110" s="1" t="s">
        <v>1097</v>
      </c>
      <c r="F1110" s="1">
        <v>0</v>
      </c>
      <c r="G1110" s="1" t="s">
        <v>96</v>
      </c>
      <c r="H1110" s="1"/>
      <c r="I1110" s="1"/>
    </row>
    <row r="1111" spans="3:9" x14ac:dyDescent="0.25">
      <c r="C1111" s="1">
        <v>8041465</v>
      </c>
      <c r="D1111" s="1">
        <v>1531</v>
      </c>
      <c r="E1111" s="1" t="s">
        <v>1098</v>
      </c>
      <c r="F1111" s="1">
        <v>0</v>
      </c>
      <c r="G1111" s="1" t="s">
        <v>96</v>
      </c>
      <c r="H1111" s="1"/>
      <c r="I1111" s="1"/>
    </row>
    <row r="1112" spans="3:9" x14ac:dyDescent="0.25">
      <c r="C1112" s="1">
        <v>8042003</v>
      </c>
      <c r="D1112" s="1">
        <v>1531</v>
      </c>
      <c r="E1112" s="1" t="s">
        <v>1099</v>
      </c>
      <c r="F1112" s="1">
        <v>2441</v>
      </c>
      <c r="G1112" s="1" t="s">
        <v>96</v>
      </c>
      <c r="H1112" s="1"/>
      <c r="I1112" s="1"/>
    </row>
    <row r="1113" spans="3:9" x14ac:dyDescent="0.25">
      <c r="C1113" s="1">
        <v>8042708</v>
      </c>
      <c r="D1113" s="1">
        <v>1531</v>
      </c>
      <c r="E1113" s="1" t="s">
        <v>1100</v>
      </c>
      <c r="F1113" s="1">
        <v>0</v>
      </c>
      <c r="G1113" s="1" t="s">
        <v>96</v>
      </c>
      <c r="H1113" s="1"/>
      <c r="I1113" s="1"/>
    </row>
    <row r="1114" spans="3:9" x14ac:dyDescent="0.25">
      <c r="C1114" s="1">
        <v>8042711</v>
      </c>
      <c r="D1114" s="1">
        <v>1531</v>
      </c>
      <c r="E1114" s="1" t="s">
        <v>1101</v>
      </c>
      <c r="F1114" s="1">
        <v>285</v>
      </c>
      <c r="G1114" s="1" t="s">
        <v>8</v>
      </c>
      <c r="H1114" s="1"/>
      <c r="I1114" s="1"/>
    </row>
    <row r="1115" spans="3:9" x14ac:dyDescent="0.25">
      <c r="C1115" s="1">
        <v>8042767</v>
      </c>
      <c r="D1115" s="1">
        <v>1531</v>
      </c>
      <c r="E1115" s="1" t="s">
        <v>1102</v>
      </c>
      <c r="F1115" s="1">
        <v>1199</v>
      </c>
      <c r="G1115" s="1" t="s">
        <v>8</v>
      </c>
      <c r="H1115" s="1"/>
      <c r="I1115" s="1"/>
    </row>
    <row r="1116" spans="3:9" x14ac:dyDescent="0.25">
      <c r="C1116" s="1">
        <v>8042947</v>
      </c>
      <c r="D1116" s="1">
        <v>1531</v>
      </c>
      <c r="E1116" s="1" t="s">
        <v>1103</v>
      </c>
      <c r="F1116" s="1">
        <v>0</v>
      </c>
      <c r="G1116" s="1" t="s">
        <v>8</v>
      </c>
      <c r="H1116" s="1"/>
      <c r="I1116" s="1"/>
    </row>
    <row r="1117" spans="3:9" x14ac:dyDescent="0.25">
      <c r="C1117" s="1">
        <v>8043064</v>
      </c>
      <c r="D1117" s="1">
        <v>1531</v>
      </c>
      <c r="E1117" s="1" t="s">
        <v>1104</v>
      </c>
      <c r="F1117" s="1">
        <v>0</v>
      </c>
      <c r="G1117" s="1" t="s">
        <v>8</v>
      </c>
      <c r="H1117" s="1"/>
      <c r="I1117" s="1"/>
    </row>
    <row r="1118" spans="3:9" x14ac:dyDescent="0.25">
      <c r="C1118" s="1">
        <v>8043533</v>
      </c>
      <c r="D1118" s="1">
        <v>1531</v>
      </c>
      <c r="E1118" s="1" t="s">
        <v>1105</v>
      </c>
      <c r="F1118" s="1">
        <v>0</v>
      </c>
      <c r="G1118" s="1" t="s">
        <v>8</v>
      </c>
      <c r="H1118" s="1"/>
      <c r="I1118" s="1"/>
    </row>
    <row r="1119" spans="3:9" x14ac:dyDescent="0.25">
      <c r="C1119" s="1">
        <v>8043534</v>
      </c>
      <c r="D1119" s="1">
        <v>1531</v>
      </c>
      <c r="E1119" s="1" t="s">
        <v>1106</v>
      </c>
      <c r="F1119" s="1">
        <v>363</v>
      </c>
      <c r="G1119" s="1" t="s">
        <v>8</v>
      </c>
      <c r="H1119" s="1"/>
      <c r="I1119" s="1"/>
    </row>
    <row r="1120" spans="3:9" x14ac:dyDescent="0.25">
      <c r="C1120" s="1">
        <v>8043535</v>
      </c>
      <c r="D1120" s="1">
        <v>1531</v>
      </c>
      <c r="E1120" s="1" t="s">
        <v>1107</v>
      </c>
      <c r="F1120" s="1">
        <v>0</v>
      </c>
      <c r="G1120" s="1" t="s">
        <v>8</v>
      </c>
      <c r="H1120" s="1"/>
      <c r="I1120" s="1"/>
    </row>
    <row r="1121" spans="3:9" x14ac:dyDescent="0.25">
      <c r="C1121" s="1">
        <v>8043987</v>
      </c>
      <c r="D1121" s="1">
        <v>1531</v>
      </c>
      <c r="E1121" s="1" t="s">
        <v>1108</v>
      </c>
      <c r="F1121" s="1">
        <v>0</v>
      </c>
      <c r="G1121" s="1" t="s">
        <v>8</v>
      </c>
      <c r="H1121" s="1"/>
      <c r="I1121" s="1"/>
    </row>
    <row r="1122" spans="3:9" x14ac:dyDescent="0.25">
      <c r="C1122" s="1">
        <v>8044165</v>
      </c>
      <c r="D1122" s="1">
        <v>1531</v>
      </c>
      <c r="E1122" s="1" t="s">
        <v>1109</v>
      </c>
      <c r="F1122" s="1">
        <v>0</v>
      </c>
      <c r="G1122" s="1" t="s">
        <v>8</v>
      </c>
      <c r="H1122" s="1"/>
      <c r="I1122" s="1"/>
    </row>
    <row r="1123" spans="3:9" x14ac:dyDescent="0.25">
      <c r="C1123" s="1">
        <v>8044166</v>
      </c>
      <c r="D1123" s="1">
        <v>1531</v>
      </c>
      <c r="E1123" s="1" t="s">
        <v>1110</v>
      </c>
      <c r="F1123" s="1">
        <v>0</v>
      </c>
      <c r="G1123" s="1" t="s">
        <v>8</v>
      </c>
      <c r="H1123" s="1"/>
      <c r="I1123" s="1"/>
    </row>
    <row r="1124" spans="3:9" x14ac:dyDescent="0.25">
      <c r="C1124" s="1">
        <v>8044167</v>
      </c>
      <c r="D1124" s="1">
        <v>1531</v>
      </c>
      <c r="E1124" s="1" t="s">
        <v>1111</v>
      </c>
      <c r="F1124" s="1">
        <v>0</v>
      </c>
      <c r="G1124" s="1" t="s">
        <v>8</v>
      </c>
      <c r="H1124" s="1"/>
      <c r="I1124" s="1"/>
    </row>
    <row r="1125" spans="3:9" x14ac:dyDescent="0.25">
      <c r="C1125" s="1">
        <v>8044168</v>
      </c>
      <c r="D1125" s="1">
        <v>1531</v>
      </c>
      <c r="E1125" s="1" t="s">
        <v>1112</v>
      </c>
      <c r="F1125" s="1">
        <v>0</v>
      </c>
      <c r="G1125" s="1" t="s">
        <v>8</v>
      </c>
      <c r="H1125" s="1"/>
      <c r="I1125" s="1"/>
    </row>
    <row r="1126" spans="3:9" x14ac:dyDescent="0.25">
      <c r="C1126" s="1">
        <v>8044205</v>
      </c>
      <c r="D1126" s="1">
        <v>1531</v>
      </c>
      <c r="E1126" s="1" t="s">
        <v>1113</v>
      </c>
      <c r="F1126" s="1">
        <v>0</v>
      </c>
      <c r="G1126" s="1" t="s">
        <v>8</v>
      </c>
      <c r="H1126" s="1"/>
      <c r="I1126" s="1"/>
    </row>
    <row r="1127" spans="3:9" x14ac:dyDescent="0.25">
      <c r="C1127" s="1">
        <v>8044206</v>
      </c>
      <c r="D1127" s="1">
        <v>1531</v>
      </c>
      <c r="E1127" s="1" t="s">
        <v>1114</v>
      </c>
      <c r="F1127" s="1">
        <v>172</v>
      </c>
      <c r="G1127" s="1" t="s">
        <v>96</v>
      </c>
      <c r="H1127" s="1"/>
      <c r="I1127" s="1"/>
    </row>
    <row r="1128" spans="3:9" x14ac:dyDescent="0.25">
      <c r="C1128" s="1">
        <v>8044207</v>
      </c>
      <c r="D1128" s="1">
        <v>1531</v>
      </c>
      <c r="E1128" s="1" t="s">
        <v>1115</v>
      </c>
      <c r="F1128" s="1">
        <v>221</v>
      </c>
      <c r="G1128" s="1" t="s">
        <v>96</v>
      </c>
      <c r="H1128" s="1"/>
      <c r="I1128" s="1"/>
    </row>
    <row r="1129" spans="3:9" x14ac:dyDescent="0.25">
      <c r="C1129" s="1">
        <v>8044777</v>
      </c>
      <c r="D1129" s="1">
        <v>1531</v>
      </c>
      <c r="E1129" s="1" t="s">
        <v>1116</v>
      </c>
      <c r="F1129" s="1">
        <v>0</v>
      </c>
      <c r="G1129" s="1" t="s">
        <v>8</v>
      </c>
      <c r="H1129" s="1"/>
      <c r="I1129" s="1"/>
    </row>
    <row r="1130" spans="3:9" x14ac:dyDescent="0.25">
      <c r="C1130" s="1">
        <v>8044778</v>
      </c>
      <c r="D1130" s="1">
        <v>1531</v>
      </c>
      <c r="E1130" s="1" t="s">
        <v>1117</v>
      </c>
      <c r="F1130" s="1">
        <v>0</v>
      </c>
      <c r="G1130" s="1" t="s">
        <v>8</v>
      </c>
      <c r="H1130" s="1"/>
      <c r="I1130" s="1"/>
    </row>
    <row r="1131" spans="3:9" x14ac:dyDescent="0.25">
      <c r="C1131" s="1">
        <v>8044779</v>
      </c>
      <c r="D1131" s="1">
        <v>1531</v>
      </c>
      <c r="E1131" s="1" t="s">
        <v>1118</v>
      </c>
      <c r="F1131" s="1">
        <v>0</v>
      </c>
      <c r="G1131" s="1" t="s">
        <v>8</v>
      </c>
      <c r="H1131" s="1"/>
      <c r="I1131" s="1"/>
    </row>
    <row r="1132" spans="3:9" x14ac:dyDescent="0.25">
      <c r="C1132" s="1">
        <v>8044780</v>
      </c>
      <c r="D1132" s="1">
        <v>1531</v>
      </c>
      <c r="E1132" s="1" t="s">
        <v>1119</v>
      </c>
      <c r="F1132" s="1">
        <v>0</v>
      </c>
      <c r="G1132" s="1" t="s">
        <v>8</v>
      </c>
      <c r="H1132" s="1"/>
      <c r="I1132" s="1"/>
    </row>
    <row r="1133" spans="3:9" x14ac:dyDescent="0.25">
      <c r="C1133" s="1">
        <v>8044820</v>
      </c>
      <c r="D1133" s="1">
        <v>1531</v>
      </c>
      <c r="E1133" s="1" t="s">
        <v>1120</v>
      </c>
      <c r="F1133" s="1">
        <v>3000</v>
      </c>
      <c r="G1133" s="1" t="s">
        <v>8</v>
      </c>
      <c r="H1133" s="1"/>
      <c r="I1133" s="1"/>
    </row>
    <row r="1134" spans="3:9" x14ac:dyDescent="0.25">
      <c r="C1134" s="1">
        <v>8044993</v>
      </c>
      <c r="D1134" s="1">
        <v>1531</v>
      </c>
      <c r="E1134" s="1" t="s">
        <v>1121</v>
      </c>
      <c r="F1134" s="1">
        <v>0</v>
      </c>
      <c r="G1134" s="1" t="s">
        <v>8</v>
      </c>
      <c r="H1134" s="1"/>
      <c r="I1134" s="1"/>
    </row>
    <row r="1135" spans="3:9" x14ac:dyDescent="0.25">
      <c r="C1135" s="1">
        <v>8044997</v>
      </c>
      <c r="D1135" s="1">
        <v>1531</v>
      </c>
      <c r="E1135" s="1" t="s">
        <v>1122</v>
      </c>
      <c r="F1135" s="1">
        <v>0</v>
      </c>
      <c r="G1135" s="1" t="s">
        <v>8</v>
      </c>
      <c r="H1135" s="1"/>
      <c r="I1135" s="1"/>
    </row>
    <row r="1136" spans="3:9" x14ac:dyDescent="0.25">
      <c r="C1136" s="1">
        <v>8045012</v>
      </c>
      <c r="D1136" s="1">
        <v>1531</v>
      </c>
      <c r="E1136" s="1" t="s">
        <v>1123</v>
      </c>
      <c r="F1136" s="1">
        <v>0</v>
      </c>
      <c r="G1136" s="1" t="s">
        <v>8</v>
      </c>
      <c r="H1136" s="1"/>
      <c r="I1136" s="1"/>
    </row>
    <row r="1137" spans="3:9" x14ac:dyDescent="0.25">
      <c r="C1137" s="1">
        <v>8045015</v>
      </c>
      <c r="D1137" s="1">
        <v>1531</v>
      </c>
      <c r="E1137" s="1" t="s">
        <v>1124</v>
      </c>
      <c r="F1137" s="1">
        <v>0</v>
      </c>
      <c r="G1137" s="1" t="s">
        <v>8</v>
      </c>
      <c r="H1137" s="1"/>
      <c r="I1137" s="1"/>
    </row>
    <row r="1138" spans="3:9" x14ac:dyDescent="0.25">
      <c r="C1138" s="1">
        <v>8045017</v>
      </c>
      <c r="D1138" s="1">
        <v>1531</v>
      </c>
      <c r="E1138" s="1" t="s">
        <v>1125</v>
      </c>
      <c r="F1138" s="1">
        <v>0</v>
      </c>
      <c r="G1138" s="1" t="s">
        <v>8</v>
      </c>
      <c r="H1138" s="1"/>
      <c r="I1138" s="1"/>
    </row>
    <row r="1139" spans="3:9" x14ac:dyDescent="0.25">
      <c r="C1139" s="1">
        <v>8045018</v>
      </c>
      <c r="D1139" s="1">
        <v>1531</v>
      </c>
      <c r="E1139" s="1" t="s">
        <v>1126</v>
      </c>
      <c r="F1139" s="1">
        <v>0</v>
      </c>
      <c r="G1139" s="1" t="s">
        <v>8</v>
      </c>
      <c r="H1139" s="1"/>
      <c r="I1139" s="1"/>
    </row>
    <row r="1140" spans="3:9" x14ac:dyDescent="0.25">
      <c r="C1140" s="1">
        <v>8045020</v>
      </c>
      <c r="D1140" s="1">
        <v>1531</v>
      </c>
      <c r="E1140" s="1" t="s">
        <v>1127</v>
      </c>
      <c r="F1140" s="1">
        <v>0</v>
      </c>
      <c r="G1140" s="1" t="s">
        <v>8</v>
      </c>
      <c r="H1140" s="1"/>
      <c r="I1140" s="1"/>
    </row>
    <row r="1141" spans="3:9" x14ac:dyDescent="0.25">
      <c r="C1141" s="1">
        <v>8045038</v>
      </c>
      <c r="D1141" s="1">
        <v>1531</v>
      </c>
      <c r="E1141" s="1" t="s">
        <v>1128</v>
      </c>
      <c r="F1141" s="1">
        <v>0</v>
      </c>
      <c r="G1141" s="1" t="s">
        <v>8</v>
      </c>
      <c r="H1141" s="1"/>
      <c r="I1141" s="1"/>
    </row>
    <row r="1142" spans="3:9" x14ac:dyDescent="0.25">
      <c r="C1142" s="1">
        <v>8045041</v>
      </c>
      <c r="D1142" s="1">
        <v>1531</v>
      </c>
      <c r="E1142" s="1" t="s">
        <v>1129</v>
      </c>
      <c r="F1142" s="1">
        <v>0</v>
      </c>
      <c r="G1142" s="1" t="s">
        <v>8</v>
      </c>
      <c r="H1142" s="1"/>
      <c r="I1142" s="1"/>
    </row>
    <row r="1143" spans="3:9" x14ac:dyDescent="0.25">
      <c r="C1143" s="1">
        <v>8045042</v>
      </c>
      <c r="D1143" s="1">
        <v>1531</v>
      </c>
      <c r="E1143" s="1" t="s">
        <v>1130</v>
      </c>
      <c r="F1143" s="1">
        <v>0</v>
      </c>
      <c r="G1143" s="1" t="s">
        <v>8</v>
      </c>
      <c r="H1143" s="1"/>
      <c r="I1143" s="1"/>
    </row>
    <row r="1144" spans="3:9" x14ac:dyDescent="0.25">
      <c r="C1144" s="1">
        <v>8045043</v>
      </c>
      <c r="D1144" s="1">
        <v>1531</v>
      </c>
      <c r="E1144" s="1" t="s">
        <v>1131</v>
      </c>
      <c r="F1144" s="1">
        <v>0</v>
      </c>
      <c r="G1144" s="1" t="s">
        <v>8</v>
      </c>
      <c r="H1144" s="1"/>
      <c r="I1144" s="1"/>
    </row>
    <row r="1145" spans="3:9" x14ac:dyDescent="0.25">
      <c r="C1145" s="1">
        <v>8045044</v>
      </c>
      <c r="D1145" s="1">
        <v>1531</v>
      </c>
      <c r="E1145" s="1" t="s">
        <v>1132</v>
      </c>
      <c r="F1145" s="1">
        <v>0</v>
      </c>
      <c r="G1145" s="1" t="s">
        <v>8</v>
      </c>
      <c r="H1145" s="1"/>
      <c r="I1145" s="1"/>
    </row>
    <row r="1146" spans="3:9" x14ac:dyDescent="0.25">
      <c r="C1146" s="1">
        <v>8045049</v>
      </c>
      <c r="D1146" s="1">
        <v>1531</v>
      </c>
      <c r="E1146" s="1" t="s">
        <v>1133</v>
      </c>
      <c r="F1146" s="1">
        <v>0</v>
      </c>
      <c r="G1146" s="1" t="s">
        <v>8</v>
      </c>
      <c r="H1146" s="1"/>
      <c r="I1146" s="1"/>
    </row>
    <row r="1147" spans="3:9" x14ac:dyDescent="0.25">
      <c r="C1147" s="1">
        <v>8045050</v>
      </c>
      <c r="D1147" s="1">
        <v>1531</v>
      </c>
      <c r="E1147" s="1" t="s">
        <v>1134</v>
      </c>
      <c r="F1147" s="1">
        <v>0</v>
      </c>
      <c r="G1147" s="1" t="s">
        <v>8</v>
      </c>
      <c r="H1147" s="1"/>
      <c r="I1147" s="1"/>
    </row>
    <row r="1148" spans="3:9" x14ac:dyDescent="0.25">
      <c r="C1148" s="1">
        <v>8045051</v>
      </c>
      <c r="D1148" s="1">
        <v>1531</v>
      </c>
      <c r="E1148" s="1" t="s">
        <v>1135</v>
      </c>
      <c r="F1148" s="1">
        <v>0</v>
      </c>
      <c r="G1148" s="1" t="s">
        <v>8</v>
      </c>
      <c r="H1148" s="1"/>
      <c r="I1148" s="1"/>
    </row>
    <row r="1149" spans="3:9" x14ac:dyDescent="0.25">
      <c r="C1149" s="1">
        <v>8045052</v>
      </c>
      <c r="D1149" s="1">
        <v>1531</v>
      </c>
      <c r="E1149" s="1" t="s">
        <v>1136</v>
      </c>
      <c r="F1149" s="1">
        <v>0</v>
      </c>
      <c r="G1149" s="1" t="s">
        <v>8</v>
      </c>
      <c r="H1149" s="1"/>
      <c r="I1149" s="1"/>
    </row>
    <row r="1150" spans="3:9" x14ac:dyDescent="0.25">
      <c r="C1150" s="1">
        <v>8045053</v>
      </c>
      <c r="D1150" s="1">
        <v>1531</v>
      </c>
      <c r="E1150" s="1" t="s">
        <v>1137</v>
      </c>
      <c r="F1150" s="1">
        <v>0</v>
      </c>
      <c r="G1150" s="1" t="s">
        <v>8</v>
      </c>
      <c r="H1150" s="1"/>
      <c r="I1150" s="1"/>
    </row>
    <row r="1151" spans="3:9" x14ac:dyDescent="0.25">
      <c r="C1151" s="1">
        <v>8045054</v>
      </c>
      <c r="D1151" s="1">
        <v>1531</v>
      </c>
      <c r="E1151" s="1" t="s">
        <v>1138</v>
      </c>
      <c r="F1151" s="1">
        <v>0</v>
      </c>
      <c r="G1151" s="1" t="s">
        <v>8</v>
      </c>
      <c r="H1151" s="1"/>
      <c r="I1151" s="1"/>
    </row>
    <row r="1152" spans="3:9" x14ac:dyDescent="0.25">
      <c r="C1152" s="1">
        <v>8045055</v>
      </c>
      <c r="D1152" s="1">
        <v>1531</v>
      </c>
      <c r="E1152" s="1" t="s">
        <v>1139</v>
      </c>
      <c r="F1152" s="1">
        <v>0</v>
      </c>
      <c r="G1152" s="1" t="s">
        <v>8</v>
      </c>
      <c r="H1152" s="1"/>
      <c r="I1152" s="1"/>
    </row>
    <row r="1153" spans="3:9" x14ac:dyDescent="0.25">
      <c r="C1153" s="1">
        <v>8045056</v>
      </c>
      <c r="D1153" s="1">
        <v>1531</v>
      </c>
      <c r="E1153" s="1" t="s">
        <v>1140</v>
      </c>
      <c r="F1153" s="1">
        <v>0</v>
      </c>
      <c r="G1153" s="1" t="s">
        <v>8</v>
      </c>
      <c r="H1153" s="1"/>
      <c r="I1153" s="1"/>
    </row>
    <row r="1154" spans="3:9" x14ac:dyDescent="0.25">
      <c r="C1154" s="1">
        <v>8045058</v>
      </c>
      <c r="D1154" s="1">
        <v>1531</v>
      </c>
      <c r="E1154" s="1" t="s">
        <v>1141</v>
      </c>
      <c r="F1154" s="1">
        <v>0</v>
      </c>
      <c r="G1154" s="1" t="s">
        <v>8</v>
      </c>
      <c r="H1154" s="1"/>
      <c r="I1154" s="1"/>
    </row>
    <row r="1155" spans="3:9" x14ac:dyDescent="0.25">
      <c r="C1155" s="1">
        <v>8045059</v>
      </c>
      <c r="D1155" s="1">
        <v>1531</v>
      </c>
      <c r="E1155" s="1" t="s">
        <v>1142</v>
      </c>
      <c r="F1155" s="1">
        <v>0</v>
      </c>
      <c r="G1155" s="1" t="s">
        <v>8</v>
      </c>
      <c r="H1155" s="1"/>
      <c r="I1155" s="1"/>
    </row>
    <row r="1156" spans="3:9" x14ac:dyDescent="0.25">
      <c r="C1156" s="1">
        <v>8045060</v>
      </c>
      <c r="D1156" s="1">
        <v>1531</v>
      </c>
      <c r="E1156" s="1" t="s">
        <v>1143</v>
      </c>
      <c r="F1156" s="1">
        <v>0</v>
      </c>
      <c r="G1156" s="1" t="s">
        <v>8</v>
      </c>
      <c r="H1156" s="1"/>
      <c r="I1156" s="1"/>
    </row>
    <row r="1157" spans="3:9" x14ac:dyDescent="0.25">
      <c r="C1157" s="1">
        <v>8045061</v>
      </c>
      <c r="D1157" s="1">
        <v>1531</v>
      </c>
      <c r="E1157" s="1" t="s">
        <v>1144</v>
      </c>
      <c r="F1157" s="1">
        <v>0</v>
      </c>
      <c r="G1157" s="1" t="s">
        <v>8</v>
      </c>
      <c r="H1157" s="1"/>
      <c r="I1157" s="1"/>
    </row>
    <row r="1158" spans="3:9" x14ac:dyDescent="0.25">
      <c r="C1158" s="1">
        <v>8045063</v>
      </c>
      <c r="D1158" s="1">
        <v>1531</v>
      </c>
      <c r="E1158" s="1" t="s">
        <v>1145</v>
      </c>
      <c r="F1158" s="1">
        <v>0</v>
      </c>
      <c r="G1158" s="1" t="s">
        <v>8</v>
      </c>
      <c r="H1158" s="1"/>
      <c r="I1158" s="1"/>
    </row>
    <row r="1159" spans="3:9" x14ac:dyDescent="0.25">
      <c r="C1159" s="1">
        <v>8045064</v>
      </c>
      <c r="D1159" s="1">
        <v>1531</v>
      </c>
      <c r="E1159" s="1" t="s">
        <v>1146</v>
      </c>
      <c r="F1159" s="1">
        <v>0</v>
      </c>
      <c r="G1159" s="1" t="s">
        <v>8</v>
      </c>
      <c r="H1159" s="1"/>
      <c r="I1159" s="1"/>
    </row>
    <row r="1160" spans="3:9" x14ac:dyDescent="0.25">
      <c r="C1160" s="1">
        <v>8045065</v>
      </c>
      <c r="D1160" s="1">
        <v>1531</v>
      </c>
      <c r="E1160" s="1" t="s">
        <v>1147</v>
      </c>
      <c r="F1160" s="1">
        <v>0</v>
      </c>
      <c r="G1160" s="1" t="s">
        <v>8</v>
      </c>
      <c r="H1160" s="1"/>
      <c r="I1160" s="1"/>
    </row>
    <row r="1161" spans="3:9" x14ac:dyDescent="0.25">
      <c r="C1161" s="1">
        <v>8045067</v>
      </c>
      <c r="D1161" s="1">
        <v>1531</v>
      </c>
      <c r="E1161" s="1" t="s">
        <v>1148</v>
      </c>
      <c r="F1161" s="1">
        <v>0</v>
      </c>
      <c r="G1161" s="1" t="s">
        <v>8</v>
      </c>
      <c r="H1161" s="1"/>
      <c r="I1161" s="1"/>
    </row>
    <row r="1162" spans="3:9" x14ac:dyDescent="0.25">
      <c r="C1162" s="1">
        <v>8045199</v>
      </c>
      <c r="D1162" s="1">
        <v>1531</v>
      </c>
      <c r="E1162" s="1" t="s">
        <v>1149</v>
      </c>
      <c r="F1162" s="1">
        <v>0</v>
      </c>
      <c r="G1162" s="1" t="s">
        <v>8</v>
      </c>
      <c r="H1162" s="1"/>
      <c r="I1162" s="1"/>
    </row>
    <row r="1163" spans="3:9" x14ac:dyDescent="0.25">
      <c r="C1163" s="1">
        <v>8045345</v>
      </c>
      <c r="D1163" s="1">
        <v>1531</v>
      </c>
      <c r="E1163" s="1" t="s">
        <v>1150</v>
      </c>
      <c r="F1163" s="1">
        <v>0</v>
      </c>
      <c r="G1163" s="1" t="s">
        <v>8</v>
      </c>
      <c r="H1163" s="1"/>
      <c r="I1163" s="1"/>
    </row>
    <row r="1164" spans="3:9" x14ac:dyDescent="0.25">
      <c r="C1164" s="1">
        <v>8045427</v>
      </c>
      <c r="D1164" s="1">
        <v>1531</v>
      </c>
      <c r="E1164" s="1" t="s">
        <v>1151</v>
      </c>
      <c r="F1164" s="1">
        <v>0</v>
      </c>
      <c r="G1164" s="1" t="s">
        <v>8</v>
      </c>
      <c r="H1164" s="1"/>
      <c r="I1164" s="1"/>
    </row>
    <row r="1165" spans="3:9" x14ac:dyDescent="0.25">
      <c r="C1165" s="1">
        <v>8045428</v>
      </c>
      <c r="D1165" s="1">
        <v>1531</v>
      </c>
      <c r="E1165" s="1" t="s">
        <v>1152</v>
      </c>
      <c r="F1165" s="1">
        <v>0</v>
      </c>
      <c r="G1165" s="1" t="s">
        <v>96</v>
      </c>
      <c r="H1165" s="1"/>
      <c r="I1165" s="1"/>
    </row>
    <row r="1166" spans="3:9" x14ac:dyDescent="0.25">
      <c r="C1166" s="1">
        <v>8045430</v>
      </c>
      <c r="D1166" s="1">
        <v>1531</v>
      </c>
      <c r="E1166" s="1" t="s">
        <v>1153</v>
      </c>
      <c r="F1166" s="1">
        <v>0</v>
      </c>
      <c r="G1166" s="1" t="s">
        <v>96</v>
      </c>
      <c r="H1166" s="1"/>
      <c r="I1166" s="1"/>
    </row>
    <row r="1167" spans="3:9" x14ac:dyDescent="0.25">
      <c r="C1167" s="1">
        <v>8045464</v>
      </c>
      <c r="D1167" s="1">
        <v>1531</v>
      </c>
      <c r="E1167" s="1" t="s">
        <v>1154</v>
      </c>
      <c r="F1167" s="1">
        <v>0</v>
      </c>
      <c r="G1167" s="1" t="s">
        <v>8</v>
      </c>
      <c r="H1167" s="1"/>
      <c r="I1167" s="1"/>
    </row>
    <row r="1168" spans="3:9" x14ac:dyDescent="0.25">
      <c r="C1168" s="1">
        <v>8045531</v>
      </c>
      <c r="D1168" s="1">
        <v>1531</v>
      </c>
      <c r="E1168" s="1" t="s">
        <v>1155</v>
      </c>
      <c r="F1168" s="1">
        <v>0</v>
      </c>
      <c r="G1168" s="1" t="s">
        <v>8</v>
      </c>
      <c r="H1168" s="1"/>
      <c r="I1168" s="1"/>
    </row>
    <row r="1169" spans="3:9" x14ac:dyDescent="0.25">
      <c r="C1169" s="1">
        <v>8045532</v>
      </c>
      <c r="D1169" s="1">
        <v>1531</v>
      </c>
      <c r="E1169" s="1" t="s">
        <v>1156</v>
      </c>
      <c r="F1169" s="1">
        <v>0</v>
      </c>
      <c r="G1169" s="1" t="s">
        <v>8</v>
      </c>
      <c r="H1169" s="1"/>
      <c r="I1169" s="1"/>
    </row>
    <row r="1170" spans="3:9" x14ac:dyDescent="0.25">
      <c r="C1170" s="1">
        <v>8045533</v>
      </c>
      <c r="D1170" s="1">
        <v>1531</v>
      </c>
      <c r="E1170" s="1" t="s">
        <v>1157</v>
      </c>
      <c r="F1170" s="1">
        <v>0</v>
      </c>
      <c r="G1170" s="1" t="s">
        <v>8</v>
      </c>
      <c r="H1170" s="1"/>
      <c r="I1170" s="1"/>
    </row>
    <row r="1171" spans="3:9" x14ac:dyDescent="0.25">
      <c r="C1171" s="1">
        <v>8045534</v>
      </c>
      <c r="D1171" s="1">
        <v>1531</v>
      </c>
      <c r="E1171" s="1" t="s">
        <v>1158</v>
      </c>
      <c r="F1171" s="1">
        <v>0</v>
      </c>
      <c r="G1171" s="1" t="s">
        <v>8</v>
      </c>
      <c r="H1171" s="1"/>
      <c r="I1171" s="1"/>
    </row>
    <row r="1172" spans="3:9" x14ac:dyDescent="0.25">
      <c r="C1172" s="1">
        <v>8045535</v>
      </c>
      <c r="D1172" s="1">
        <v>1531</v>
      </c>
      <c r="E1172" s="1" t="s">
        <v>1159</v>
      </c>
      <c r="F1172" s="1">
        <v>0</v>
      </c>
      <c r="G1172" s="1" t="s">
        <v>8</v>
      </c>
      <c r="H1172" s="1"/>
      <c r="I1172" s="1"/>
    </row>
    <row r="1173" spans="3:9" x14ac:dyDescent="0.25">
      <c r="C1173" s="1">
        <v>8045536</v>
      </c>
      <c r="D1173" s="1">
        <v>1531</v>
      </c>
      <c r="E1173" s="1" t="s">
        <v>1160</v>
      </c>
      <c r="F1173" s="1">
        <v>0</v>
      </c>
      <c r="G1173" s="1" t="s">
        <v>8</v>
      </c>
      <c r="H1173" s="1"/>
      <c r="I1173" s="1"/>
    </row>
    <row r="1174" spans="3:9" x14ac:dyDescent="0.25">
      <c r="C1174" s="1">
        <v>8045644</v>
      </c>
      <c r="D1174" s="1">
        <v>1531</v>
      </c>
      <c r="E1174" s="1" t="s">
        <v>1161</v>
      </c>
      <c r="F1174" s="1">
        <v>0</v>
      </c>
      <c r="G1174" s="1" t="s">
        <v>8</v>
      </c>
      <c r="H1174" s="1"/>
      <c r="I1174" s="1"/>
    </row>
    <row r="1175" spans="3:9" x14ac:dyDescent="0.25">
      <c r="C1175" s="1">
        <v>8046067</v>
      </c>
      <c r="D1175" s="1">
        <v>1531</v>
      </c>
      <c r="E1175" s="1" t="s">
        <v>1162</v>
      </c>
      <c r="F1175" s="1">
        <v>0</v>
      </c>
      <c r="G1175" s="1" t="s">
        <v>8</v>
      </c>
      <c r="H1175" s="1"/>
      <c r="I1175" s="1"/>
    </row>
    <row r="1176" spans="3:9" x14ac:dyDescent="0.25">
      <c r="C1176" s="1">
        <v>8046068</v>
      </c>
      <c r="D1176" s="1">
        <v>1531</v>
      </c>
      <c r="E1176" s="1" t="s">
        <v>1163</v>
      </c>
      <c r="F1176" s="1">
        <v>0</v>
      </c>
      <c r="G1176" s="1" t="s">
        <v>8</v>
      </c>
      <c r="H1176" s="1"/>
      <c r="I1176" s="1"/>
    </row>
    <row r="1177" spans="3:9" x14ac:dyDescent="0.25">
      <c r="C1177" s="1">
        <v>8046446</v>
      </c>
      <c r="D1177" s="1">
        <v>1531</v>
      </c>
      <c r="E1177" s="1" t="s">
        <v>1164</v>
      </c>
      <c r="F1177" s="1">
        <v>0</v>
      </c>
      <c r="G1177" s="1" t="s">
        <v>8</v>
      </c>
      <c r="H1177" s="1"/>
      <c r="I1177" s="1"/>
    </row>
    <row r="1178" spans="3:9" x14ac:dyDescent="0.25">
      <c r="C1178" s="1">
        <v>8046448</v>
      </c>
      <c r="D1178" s="1">
        <v>1531</v>
      </c>
      <c r="E1178" s="1" t="s">
        <v>1165</v>
      </c>
      <c r="F1178" s="1">
        <v>0</v>
      </c>
      <c r="G1178" s="1" t="s">
        <v>8</v>
      </c>
      <c r="H1178" s="1"/>
      <c r="I1178" s="1"/>
    </row>
    <row r="1179" spans="3:9" x14ac:dyDescent="0.25">
      <c r="C1179" s="1">
        <v>8046823</v>
      </c>
      <c r="D1179" s="1">
        <v>1531</v>
      </c>
      <c r="E1179" s="1" t="s">
        <v>1166</v>
      </c>
      <c r="F1179" s="1">
        <v>1005</v>
      </c>
      <c r="G1179" s="1" t="s">
        <v>96</v>
      </c>
      <c r="H1179" s="1"/>
      <c r="I1179" s="1"/>
    </row>
    <row r="1180" spans="3:9" x14ac:dyDescent="0.25">
      <c r="C1180" s="1">
        <v>8046832</v>
      </c>
      <c r="D1180" s="1">
        <v>1531</v>
      </c>
      <c r="E1180" s="1" t="s">
        <v>1167</v>
      </c>
      <c r="F1180" s="1">
        <v>1039</v>
      </c>
      <c r="G1180" s="1" t="s">
        <v>96</v>
      </c>
      <c r="H1180" s="1"/>
      <c r="I1180" s="1"/>
    </row>
    <row r="1181" spans="3:9" x14ac:dyDescent="0.25">
      <c r="C1181" s="1">
        <v>8046838</v>
      </c>
      <c r="D1181" s="1">
        <v>1531</v>
      </c>
      <c r="E1181" s="1" t="s">
        <v>1168</v>
      </c>
      <c r="F1181" s="1">
        <v>0</v>
      </c>
      <c r="G1181" s="1" t="s">
        <v>96</v>
      </c>
      <c r="H1181" s="1"/>
      <c r="I1181" s="1"/>
    </row>
    <row r="1182" spans="3:9" x14ac:dyDescent="0.25">
      <c r="C1182" s="1">
        <v>8046839</v>
      </c>
      <c r="D1182" s="1">
        <v>1531</v>
      </c>
      <c r="E1182" s="1" t="s">
        <v>1169</v>
      </c>
      <c r="F1182" s="1">
        <v>0</v>
      </c>
      <c r="G1182" s="1" t="s">
        <v>96</v>
      </c>
      <c r="H1182" s="1"/>
      <c r="I1182" s="1"/>
    </row>
    <row r="1183" spans="3:9" x14ac:dyDescent="0.25">
      <c r="C1183" s="1">
        <v>8046919</v>
      </c>
      <c r="D1183" s="1">
        <v>1531</v>
      </c>
      <c r="E1183" s="1" t="s">
        <v>1170</v>
      </c>
      <c r="F1183" s="1">
        <v>0</v>
      </c>
      <c r="G1183" s="1" t="s">
        <v>8</v>
      </c>
      <c r="H1183" s="1"/>
      <c r="I1183" s="1"/>
    </row>
    <row r="1184" spans="3:9" x14ac:dyDescent="0.25">
      <c r="C1184" s="1">
        <v>8046927</v>
      </c>
      <c r="D1184" s="1">
        <v>1531</v>
      </c>
      <c r="E1184" s="1" t="s">
        <v>1171</v>
      </c>
      <c r="F1184" s="1">
        <v>0</v>
      </c>
      <c r="G1184" s="1" t="s">
        <v>8</v>
      </c>
      <c r="H1184" s="1"/>
      <c r="I1184" s="1"/>
    </row>
    <row r="1185" spans="3:9" x14ac:dyDescent="0.25">
      <c r="C1185" s="1">
        <v>8046988</v>
      </c>
      <c r="D1185" s="1">
        <v>1531</v>
      </c>
      <c r="E1185" s="1" t="s">
        <v>1172</v>
      </c>
      <c r="F1185" s="1">
        <v>0</v>
      </c>
      <c r="G1185" s="1" t="s">
        <v>8</v>
      </c>
      <c r="H1185" s="1"/>
      <c r="I1185" s="1"/>
    </row>
    <row r="1186" spans="3:9" x14ac:dyDescent="0.25">
      <c r="C1186" s="1">
        <v>8046989</v>
      </c>
      <c r="D1186" s="1">
        <v>1531</v>
      </c>
      <c r="E1186" s="1" t="s">
        <v>1173</v>
      </c>
      <c r="F1186" s="1">
        <v>100</v>
      </c>
      <c r="G1186" s="1" t="s">
        <v>8</v>
      </c>
      <c r="H1186" s="1"/>
      <c r="I1186" s="1"/>
    </row>
    <row r="1187" spans="3:9" x14ac:dyDescent="0.25">
      <c r="C1187" s="1">
        <v>8046990</v>
      </c>
      <c r="D1187" s="1">
        <v>1531</v>
      </c>
      <c r="E1187" s="1" t="s">
        <v>1174</v>
      </c>
      <c r="F1187" s="1">
        <v>0</v>
      </c>
      <c r="G1187" s="1" t="s">
        <v>8</v>
      </c>
      <c r="H1187" s="1"/>
      <c r="I1187" s="1"/>
    </row>
    <row r="1188" spans="3:9" x14ac:dyDescent="0.25">
      <c r="C1188" s="1">
        <v>8047155</v>
      </c>
      <c r="D1188" s="1">
        <v>1531</v>
      </c>
      <c r="E1188" s="1" t="s">
        <v>1175</v>
      </c>
      <c r="F1188" s="1">
        <v>0</v>
      </c>
      <c r="G1188" s="1" t="s">
        <v>8</v>
      </c>
      <c r="H1188" s="1"/>
      <c r="I1188" s="1"/>
    </row>
    <row r="1189" spans="3:9" x14ac:dyDescent="0.25">
      <c r="C1189" s="1">
        <v>8047347</v>
      </c>
      <c r="D1189" s="1">
        <v>1531</v>
      </c>
      <c r="E1189" s="1" t="s">
        <v>1176</v>
      </c>
      <c r="F1189" s="1">
        <v>0</v>
      </c>
      <c r="G1189" s="1" t="s">
        <v>8</v>
      </c>
      <c r="H1189" s="1"/>
      <c r="I1189" s="1"/>
    </row>
    <row r="1190" spans="3:9" x14ac:dyDescent="0.25">
      <c r="C1190" s="1">
        <v>8047462</v>
      </c>
      <c r="D1190" s="1">
        <v>1531</v>
      </c>
      <c r="E1190" s="1" t="s">
        <v>1177</v>
      </c>
      <c r="F1190" s="1">
        <v>0</v>
      </c>
      <c r="G1190" s="1" t="s">
        <v>8</v>
      </c>
      <c r="H1190" s="1"/>
      <c r="I1190" s="1"/>
    </row>
    <row r="1191" spans="3:9" x14ac:dyDescent="0.25">
      <c r="C1191" s="1">
        <v>8047515</v>
      </c>
      <c r="D1191" s="1">
        <v>1531</v>
      </c>
      <c r="E1191" s="1" t="s">
        <v>1178</v>
      </c>
      <c r="F1191" s="1">
        <v>0</v>
      </c>
      <c r="G1191" s="1" t="s">
        <v>8</v>
      </c>
      <c r="H1191" s="1"/>
      <c r="I1191" s="1"/>
    </row>
    <row r="1192" spans="3:9" x14ac:dyDescent="0.25">
      <c r="C1192" s="1">
        <v>8047516</v>
      </c>
      <c r="D1192" s="1">
        <v>1531</v>
      </c>
      <c r="E1192" s="1" t="s">
        <v>1179</v>
      </c>
      <c r="F1192" s="1">
        <v>0</v>
      </c>
      <c r="G1192" s="1" t="s">
        <v>8</v>
      </c>
      <c r="H1192" s="1"/>
      <c r="I1192" s="1"/>
    </row>
    <row r="1193" spans="3:9" x14ac:dyDescent="0.25">
      <c r="C1193" s="1">
        <v>8047518</v>
      </c>
      <c r="D1193" s="1">
        <v>1531</v>
      </c>
      <c r="E1193" s="1" t="s">
        <v>1180</v>
      </c>
      <c r="F1193" s="1">
        <v>0</v>
      </c>
      <c r="G1193" s="1" t="s">
        <v>8</v>
      </c>
      <c r="H1193" s="1"/>
      <c r="I1193" s="1"/>
    </row>
    <row r="1194" spans="3:9" x14ac:dyDescent="0.25">
      <c r="C1194" s="1">
        <v>8047694</v>
      </c>
      <c r="D1194" s="1">
        <v>1531</v>
      </c>
      <c r="E1194" s="1" t="s">
        <v>1181</v>
      </c>
      <c r="F1194" s="1">
        <v>2561</v>
      </c>
      <c r="G1194" s="1" t="s">
        <v>8</v>
      </c>
      <c r="H1194" s="1"/>
      <c r="I1194" s="1"/>
    </row>
    <row r="1195" spans="3:9" x14ac:dyDescent="0.25">
      <c r="C1195" s="1">
        <v>8047695</v>
      </c>
      <c r="D1195" s="1">
        <v>1531</v>
      </c>
      <c r="E1195" s="1" t="s">
        <v>1182</v>
      </c>
      <c r="F1195" s="1">
        <v>2446</v>
      </c>
      <c r="G1195" s="1" t="s">
        <v>8</v>
      </c>
      <c r="H1195" s="1"/>
      <c r="I1195" s="1"/>
    </row>
    <row r="1196" spans="3:9" x14ac:dyDescent="0.25">
      <c r="C1196" s="1">
        <v>8047696</v>
      </c>
      <c r="D1196" s="1">
        <v>1531</v>
      </c>
      <c r="E1196" s="1" t="s">
        <v>1183</v>
      </c>
      <c r="F1196" s="1">
        <v>0</v>
      </c>
      <c r="G1196" s="1" t="s">
        <v>8</v>
      </c>
      <c r="H1196" s="1"/>
      <c r="I1196" s="1"/>
    </row>
    <row r="1197" spans="3:9" x14ac:dyDescent="0.25">
      <c r="C1197" s="1">
        <v>8048296</v>
      </c>
      <c r="D1197" s="1">
        <v>1531</v>
      </c>
      <c r="E1197" s="1" t="s">
        <v>1184</v>
      </c>
      <c r="F1197" s="1">
        <v>743</v>
      </c>
      <c r="G1197" s="1" t="s">
        <v>96</v>
      </c>
      <c r="H1197" s="1"/>
      <c r="I1197" s="1"/>
    </row>
    <row r="1198" spans="3:9" x14ac:dyDescent="0.25">
      <c r="C1198" s="1">
        <v>8048297</v>
      </c>
      <c r="D1198" s="1">
        <v>1531</v>
      </c>
      <c r="E1198" s="1" t="s">
        <v>1185</v>
      </c>
      <c r="F1198" s="1">
        <v>0</v>
      </c>
      <c r="G1198" s="1" t="s">
        <v>96</v>
      </c>
      <c r="H1198" s="1"/>
      <c r="I1198" s="1"/>
    </row>
    <row r="1199" spans="3:9" x14ac:dyDescent="0.25">
      <c r="C1199" s="1">
        <v>8048298</v>
      </c>
      <c r="D1199" s="1">
        <v>1531</v>
      </c>
      <c r="E1199" s="1" t="s">
        <v>1186</v>
      </c>
      <c r="F1199" s="1">
        <v>735</v>
      </c>
      <c r="G1199" s="1" t="s">
        <v>96</v>
      </c>
      <c r="H1199" s="1"/>
      <c r="I1199" s="1"/>
    </row>
    <row r="1200" spans="3:9" x14ac:dyDescent="0.25">
      <c r="C1200" s="1">
        <v>8048302</v>
      </c>
      <c r="D1200" s="1">
        <v>1531</v>
      </c>
      <c r="E1200" s="1" t="s">
        <v>1187</v>
      </c>
      <c r="F1200" s="1">
        <v>1079</v>
      </c>
      <c r="G1200" s="1" t="s">
        <v>96</v>
      </c>
      <c r="H1200" s="1"/>
      <c r="I1200" s="1"/>
    </row>
    <row r="1201" spans="3:9" x14ac:dyDescent="0.25">
      <c r="C1201" s="1">
        <v>8048389</v>
      </c>
      <c r="D1201" s="1">
        <v>1531</v>
      </c>
      <c r="E1201" s="1" t="s">
        <v>1188</v>
      </c>
      <c r="F1201" s="1">
        <v>0</v>
      </c>
      <c r="G1201" s="1" t="s">
        <v>8</v>
      </c>
      <c r="H1201" s="1"/>
      <c r="I1201" s="1"/>
    </row>
    <row r="1202" spans="3:9" x14ac:dyDescent="0.25">
      <c r="C1202" s="1">
        <v>8048390</v>
      </c>
      <c r="D1202" s="1">
        <v>1531</v>
      </c>
      <c r="E1202" s="1" t="s">
        <v>1189</v>
      </c>
      <c r="F1202" s="1">
        <v>0</v>
      </c>
      <c r="G1202" s="1" t="s">
        <v>96</v>
      </c>
      <c r="H1202" s="1"/>
      <c r="I1202" s="1"/>
    </row>
    <row r="1203" spans="3:9" x14ac:dyDescent="0.25">
      <c r="C1203" s="1">
        <v>8048391</v>
      </c>
      <c r="D1203" s="1">
        <v>1531</v>
      </c>
      <c r="E1203" s="1" t="s">
        <v>1190</v>
      </c>
      <c r="F1203" s="1">
        <v>0</v>
      </c>
      <c r="G1203" s="1" t="s">
        <v>96</v>
      </c>
      <c r="H1203" s="1"/>
      <c r="I1203" s="1"/>
    </row>
    <row r="1204" spans="3:9" x14ac:dyDescent="0.25">
      <c r="C1204" s="1">
        <v>8048668</v>
      </c>
      <c r="D1204" s="1">
        <v>1531</v>
      </c>
      <c r="E1204" s="1" t="s">
        <v>1191</v>
      </c>
      <c r="F1204" s="1">
        <v>1383</v>
      </c>
      <c r="G1204" s="1" t="s">
        <v>96</v>
      </c>
      <c r="H1204" s="1"/>
      <c r="I1204" s="1"/>
    </row>
    <row r="1205" spans="3:9" x14ac:dyDescent="0.25">
      <c r="C1205" s="1">
        <v>8048670</v>
      </c>
      <c r="D1205" s="1">
        <v>1531</v>
      </c>
      <c r="E1205" s="1" t="s">
        <v>1192</v>
      </c>
      <c r="F1205" s="1">
        <v>0</v>
      </c>
      <c r="G1205" s="1" t="s">
        <v>96</v>
      </c>
      <c r="H1205" s="1"/>
      <c r="I1205" s="1"/>
    </row>
    <row r="1206" spans="3:9" x14ac:dyDescent="0.25">
      <c r="C1206" s="1">
        <v>8048671</v>
      </c>
      <c r="D1206" s="1">
        <v>1531</v>
      </c>
      <c r="E1206" s="1" t="s">
        <v>1193</v>
      </c>
      <c r="F1206" s="1">
        <v>675</v>
      </c>
      <c r="G1206" s="1" t="s">
        <v>96</v>
      </c>
      <c r="H1206" s="1"/>
      <c r="I1206" s="1"/>
    </row>
    <row r="1207" spans="3:9" x14ac:dyDescent="0.25">
      <c r="C1207" s="1">
        <v>8048672</v>
      </c>
      <c r="D1207" s="1">
        <v>1531</v>
      </c>
      <c r="E1207" s="1" t="s">
        <v>1194</v>
      </c>
      <c r="F1207" s="1">
        <v>0</v>
      </c>
      <c r="G1207" s="1" t="s">
        <v>96</v>
      </c>
      <c r="H1207" s="1"/>
      <c r="I1207" s="1"/>
    </row>
    <row r="1208" spans="3:9" x14ac:dyDescent="0.25">
      <c r="C1208" s="1">
        <v>8048675</v>
      </c>
      <c r="D1208" s="1">
        <v>1531</v>
      </c>
      <c r="E1208" s="1" t="s">
        <v>1195</v>
      </c>
      <c r="F1208" s="1">
        <v>0</v>
      </c>
      <c r="G1208" s="1" t="s">
        <v>8</v>
      </c>
      <c r="H1208" s="1"/>
      <c r="I1208" s="1"/>
    </row>
    <row r="1209" spans="3:9" x14ac:dyDescent="0.25">
      <c r="C1209" s="1">
        <v>8048676</v>
      </c>
      <c r="D1209" s="1">
        <v>1531</v>
      </c>
      <c r="E1209" s="1" t="s">
        <v>1196</v>
      </c>
      <c r="F1209" s="1">
        <v>0</v>
      </c>
      <c r="G1209" s="1" t="s">
        <v>8</v>
      </c>
      <c r="H1209" s="1"/>
      <c r="I1209" s="1"/>
    </row>
    <row r="1210" spans="3:9" x14ac:dyDescent="0.25">
      <c r="C1210" s="1">
        <v>8048973</v>
      </c>
      <c r="D1210" s="1">
        <v>1531</v>
      </c>
      <c r="E1210" s="1" t="s">
        <v>1197</v>
      </c>
      <c r="F1210" s="1">
        <v>0</v>
      </c>
      <c r="G1210" s="1" t="s">
        <v>8</v>
      </c>
      <c r="H1210" s="1"/>
      <c r="I1210" s="1"/>
    </row>
    <row r="1211" spans="3:9" x14ac:dyDescent="0.25">
      <c r="C1211" s="1">
        <v>8049024</v>
      </c>
      <c r="D1211" s="1">
        <v>1531</v>
      </c>
      <c r="E1211" s="1" t="s">
        <v>1198</v>
      </c>
      <c r="F1211" s="1">
        <v>20000</v>
      </c>
      <c r="G1211" s="1" t="s">
        <v>8</v>
      </c>
      <c r="H1211" s="1"/>
      <c r="I1211" s="1"/>
    </row>
    <row r="1212" spans="3:9" x14ac:dyDescent="0.25">
      <c r="C1212" s="1">
        <v>8049234</v>
      </c>
      <c r="D1212" s="1">
        <v>1531</v>
      </c>
      <c r="E1212" s="1" t="s">
        <v>1199</v>
      </c>
      <c r="F1212" s="1">
        <v>0</v>
      </c>
      <c r="G1212" s="1" t="s">
        <v>8</v>
      </c>
      <c r="H1212" s="1"/>
      <c r="I1212" s="1"/>
    </row>
    <row r="1213" spans="3:9" x14ac:dyDescent="0.25">
      <c r="C1213" s="1">
        <v>8050386</v>
      </c>
      <c r="D1213" s="1">
        <v>1531</v>
      </c>
      <c r="E1213" s="1" t="s">
        <v>1200</v>
      </c>
      <c r="F1213" s="1">
        <v>0</v>
      </c>
      <c r="G1213" s="1" t="s">
        <v>8</v>
      </c>
      <c r="H1213" s="1"/>
      <c r="I1213" s="1"/>
    </row>
    <row r="1214" spans="3:9" x14ac:dyDescent="0.25">
      <c r="C1214" s="1">
        <v>8050483</v>
      </c>
      <c r="D1214" s="1">
        <v>1531</v>
      </c>
      <c r="E1214" s="1" t="s">
        <v>1201</v>
      </c>
      <c r="F1214" s="1">
        <v>0</v>
      </c>
      <c r="G1214" s="1" t="s">
        <v>8</v>
      </c>
      <c r="H1214" s="1"/>
      <c r="I1214" s="1"/>
    </row>
    <row r="1215" spans="3:9" x14ac:dyDescent="0.25">
      <c r="C1215" s="1">
        <v>8050485</v>
      </c>
      <c r="D1215" s="1">
        <v>1531</v>
      </c>
      <c r="E1215" s="1" t="s">
        <v>1202</v>
      </c>
      <c r="F1215" s="1">
        <v>419</v>
      </c>
      <c r="G1215" s="1" t="s">
        <v>96</v>
      </c>
      <c r="H1215" s="1"/>
      <c r="I1215" s="1"/>
    </row>
    <row r="1216" spans="3:9" x14ac:dyDescent="0.25">
      <c r="C1216" s="1">
        <v>8050486</v>
      </c>
      <c r="D1216" s="1">
        <v>1531</v>
      </c>
      <c r="E1216" s="1" t="s">
        <v>1203</v>
      </c>
      <c r="F1216" s="1">
        <v>212</v>
      </c>
      <c r="G1216" s="1" t="s">
        <v>8</v>
      </c>
      <c r="H1216" s="1"/>
      <c r="I1216" s="1"/>
    </row>
    <row r="1217" spans="3:9" x14ac:dyDescent="0.25">
      <c r="C1217" s="1">
        <v>8050702</v>
      </c>
      <c r="D1217" s="1">
        <v>1531</v>
      </c>
      <c r="E1217" s="1" t="s">
        <v>1204</v>
      </c>
      <c r="F1217" s="1">
        <v>0</v>
      </c>
      <c r="G1217" s="1" t="s">
        <v>8</v>
      </c>
      <c r="H1217" s="1"/>
      <c r="I1217" s="1"/>
    </row>
    <row r="1218" spans="3:9" x14ac:dyDescent="0.25">
      <c r="C1218" s="1">
        <v>8050703</v>
      </c>
      <c r="D1218" s="1">
        <v>1531</v>
      </c>
      <c r="E1218" s="1" t="s">
        <v>1205</v>
      </c>
      <c r="F1218" s="1">
        <v>0</v>
      </c>
      <c r="G1218" s="1" t="s">
        <v>96</v>
      </c>
      <c r="H1218" s="1"/>
      <c r="I1218" s="1"/>
    </row>
    <row r="1219" spans="3:9" x14ac:dyDescent="0.25">
      <c r="C1219" s="1">
        <v>8050704</v>
      </c>
      <c r="D1219" s="1">
        <v>1531</v>
      </c>
      <c r="E1219" s="1" t="s">
        <v>1206</v>
      </c>
      <c r="F1219" s="1">
        <v>0</v>
      </c>
      <c r="G1219" s="1" t="s">
        <v>96</v>
      </c>
      <c r="H1219" s="1"/>
      <c r="I1219" s="1"/>
    </row>
    <row r="1220" spans="3:9" x14ac:dyDescent="0.25">
      <c r="C1220" s="1">
        <v>8050710</v>
      </c>
      <c r="D1220" s="1">
        <v>1531</v>
      </c>
      <c r="E1220" s="1" t="s">
        <v>1207</v>
      </c>
      <c r="F1220" s="1">
        <v>0</v>
      </c>
      <c r="G1220" s="1" t="s">
        <v>8</v>
      </c>
      <c r="H1220" s="1"/>
      <c r="I1220" s="1"/>
    </row>
    <row r="1221" spans="3:9" x14ac:dyDescent="0.25">
      <c r="C1221" s="1">
        <v>8050721</v>
      </c>
      <c r="D1221" s="1">
        <v>1531</v>
      </c>
      <c r="E1221" s="1" t="s">
        <v>1208</v>
      </c>
      <c r="F1221" s="1">
        <v>216</v>
      </c>
      <c r="G1221" s="1" t="s">
        <v>96</v>
      </c>
      <c r="H1221" s="1"/>
      <c r="I1221" s="1"/>
    </row>
    <row r="1222" spans="3:9" x14ac:dyDescent="0.25">
      <c r="C1222" s="1">
        <v>8050787</v>
      </c>
      <c r="D1222" s="1">
        <v>1531</v>
      </c>
      <c r="E1222" s="1" t="s">
        <v>1209</v>
      </c>
      <c r="F1222" s="1">
        <v>0</v>
      </c>
      <c r="G1222" s="1" t="s">
        <v>96</v>
      </c>
      <c r="H1222" s="1"/>
      <c r="I1222" s="1"/>
    </row>
    <row r="1223" spans="3:9" x14ac:dyDescent="0.25">
      <c r="C1223" s="1">
        <v>8050788</v>
      </c>
      <c r="D1223" s="1">
        <v>1531</v>
      </c>
      <c r="E1223" s="1" t="s">
        <v>1210</v>
      </c>
      <c r="F1223" s="1">
        <v>0</v>
      </c>
      <c r="G1223" s="1" t="s">
        <v>96</v>
      </c>
      <c r="H1223" s="1"/>
      <c r="I1223" s="1"/>
    </row>
    <row r="1224" spans="3:9" x14ac:dyDescent="0.25">
      <c r="C1224" s="1">
        <v>8050795</v>
      </c>
      <c r="D1224" s="1">
        <v>1531</v>
      </c>
      <c r="E1224" s="1" t="s">
        <v>1211</v>
      </c>
      <c r="F1224" s="1">
        <v>0</v>
      </c>
      <c r="G1224" s="1" t="s">
        <v>96</v>
      </c>
      <c r="H1224" s="1"/>
      <c r="I1224" s="1"/>
    </row>
    <row r="1225" spans="3:9" x14ac:dyDescent="0.25">
      <c r="C1225" s="1">
        <v>8050951</v>
      </c>
      <c r="D1225" s="1">
        <v>1531</v>
      </c>
      <c r="E1225" s="1" t="s">
        <v>1212</v>
      </c>
      <c r="F1225" s="1">
        <v>0</v>
      </c>
      <c r="G1225" s="1" t="s">
        <v>8</v>
      </c>
      <c r="H1225" s="1"/>
      <c r="I1225" s="1"/>
    </row>
    <row r="1226" spans="3:9" x14ac:dyDescent="0.25">
      <c r="C1226" s="1">
        <v>8050952</v>
      </c>
      <c r="D1226" s="1">
        <v>1531</v>
      </c>
      <c r="E1226" s="1" t="s">
        <v>1213</v>
      </c>
      <c r="F1226" s="1">
        <v>0</v>
      </c>
      <c r="G1226" s="1" t="s">
        <v>8</v>
      </c>
      <c r="H1226" s="1"/>
      <c r="I1226" s="1"/>
    </row>
    <row r="1227" spans="3:9" x14ac:dyDescent="0.25">
      <c r="C1227" s="1">
        <v>8050953</v>
      </c>
      <c r="D1227" s="1">
        <v>1531</v>
      </c>
      <c r="E1227" s="1" t="s">
        <v>1214</v>
      </c>
      <c r="F1227" s="1">
        <v>0</v>
      </c>
      <c r="G1227" s="1" t="s">
        <v>8</v>
      </c>
      <c r="H1227" s="1"/>
      <c r="I1227" s="1"/>
    </row>
    <row r="1228" spans="3:9" x14ac:dyDescent="0.25">
      <c r="C1228" s="1">
        <v>8050954</v>
      </c>
      <c r="D1228" s="1">
        <v>1531</v>
      </c>
      <c r="E1228" s="1" t="s">
        <v>1215</v>
      </c>
      <c r="F1228" s="1">
        <v>0</v>
      </c>
      <c r="G1228" s="1" t="s">
        <v>8</v>
      </c>
      <c r="H1228" s="1"/>
      <c r="I1228" s="1"/>
    </row>
    <row r="1229" spans="3:9" x14ac:dyDescent="0.25">
      <c r="C1229" s="1">
        <v>8050955</v>
      </c>
      <c r="D1229" s="1">
        <v>1531</v>
      </c>
      <c r="E1229" s="1" t="s">
        <v>1216</v>
      </c>
      <c r="F1229" s="1">
        <v>0</v>
      </c>
      <c r="G1229" s="1" t="s">
        <v>8</v>
      </c>
      <c r="H1229" s="1"/>
      <c r="I1229" s="1"/>
    </row>
    <row r="1230" spans="3:9" x14ac:dyDescent="0.25">
      <c r="C1230" s="1">
        <v>8050962</v>
      </c>
      <c r="D1230" s="1">
        <v>1531</v>
      </c>
      <c r="E1230" s="1" t="s">
        <v>1217</v>
      </c>
      <c r="F1230" s="1">
        <v>0</v>
      </c>
      <c r="G1230" s="1" t="s">
        <v>8</v>
      </c>
      <c r="H1230" s="1"/>
      <c r="I1230" s="1"/>
    </row>
    <row r="1231" spans="3:9" x14ac:dyDescent="0.25">
      <c r="C1231" s="1">
        <v>8050963</v>
      </c>
      <c r="D1231" s="1">
        <v>1531</v>
      </c>
      <c r="E1231" s="1" t="s">
        <v>1218</v>
      </c>
      <c r="F1231" s="1">
        <v>0</v>
      </c>
      <c r="G1231" s="1" t="s">
        <v>8</v>
      </c>
      <c r="H1231" s="1"/>
      <c r="I1231" s="1"/>
    </row>
    <row r="1232" spans="3:9" x14ac:dyDescent="0.25">
      <c r="C1232" s="1">
        <v>8050964</v>
      </c>
      <c r="D1232" s="1">
        <v>1531</v>
      </c>
      <c r="E1232" s="1" t="s">
        <v>1219</v>
      </c>
      <c r="F1232" s="1">
        <v>0</v>
      </c>
      <c r="G1232" s="1" t="s">
        <v>8</v>
      </c>
      <c r="H1232" s="1"/>
      <c r="I1232" s="1"/>
    </row>
    <row r="1233" spans="3:9" x14ac:dyDescent="0.25">
      <c r="C1233" s="1">
        <v>8051182</v>
      </c>
      <c r="D1233" s="1">
        <v>1531</v>
      </c>
      <c r="E1233" s="1" t="s">
        <v>1220</v>
      </c>
      <c r="F1233" s="1">
        <v>0</v>
      </c>
      <c r="G1233" s="1" t="s">
        <v>8</v>
      </c>
      <c r="H1233" s="1"/>
      <c r="I1233" s="1"/>
    </row>
    <row r="1234" spans="3:9" x14ac:dyDescent="0.25">
      <c r="C1234" s="1">
        <v>8051183</v>
      </c>
      <c r="D1234" s="1">
        <v>1531</v>
      </c>
      <c r="E1234" s="1" t="s">
        <v>1221</v>
      </c>
      <c r="F1234" s="1">
        <v>0</v>
      </c>
      <c r="G1234" s="1" t="s">
        <v>8</v>
      </c>
      <c r="H1234" s="1"/>
      <c r="I1234" s="1"/>
    </row>
    <row r="1235" spans="3:9" x14ac:dyDescent="0.25">
      <c r="C1235" s="1">
        <v>8051239</v>
      </c>
      <c r="D1235" s="1">
        <v>1531</v>
      </c>
      <c r="E1235" s="1" t="s">
        <v>1222</v>
      </c>
      <c r="F1235" s="1">
        <v>0</v>
      </c>
      <c r="G1235" s="1" t="s">
        <v>8</v>
      </c>
      <c r="H1235" s="1"/>
      <c r="I1235" s="1"/>
    </row>
    <row r="1236" spans="3:9" x14ac:dyDescent="0.25">
      <c r="C1236" s="1">
        <v>8051242</v>
      </c>
      <c r="D1236" s="1">
        <v>1531</v>
      </c>
      <c r="E1236" s="1" t="s">
        <v>1223</v>
      </c>
      <c r="F1236" s="1">
        <v>0</v>
      </c>
      <c r="G1236" s="1" t="s">
        <v>8</v>
      </c>
      <c r="H1236" s="1"/>
      <c r="I1236" s="1"/>
    </row>
    <row r="1237" spans="3:9" x14ac:dyDescent="0.25">
      <c r="C1237" s="1">
        <v>8051282</v>
      </c>
      <c r="D1237" s="1">
        <v>1531</v>
      </c>
      <c r="E1237" s="1" t="s">
        <v>1224</v>
      </c>
      <c r="F1237" s="1">
        <v>0</v>
      </c>
      <c r="G1237" s="1" t="s">
        <v>8</v>
      </c>
      <c r="H1237" s="1"/>
      <c r="I1237" s="1"/>
    </row>
    <row r="1238" spans="3:9" x14ac:dyDescent="0.25">
      <c r="C1238" s="1">
        <v>8051283</v>
      </c>
      <c r="D1238" s="1">
        <v>1531</v>
      </c>
      <c r="E1238" s="1" t="s">
        <v>1225</v>
      </c>
      <c r="F1238" s="1">
        <v>0</v>
      </c>
      <c r="G1238" s="1" t="s">
        <v>8</v>
      </c>
      <c r="H1238" s="1"/>
      <c r="I1238" s="1"/>
    </row>
    <row r="1239" spans="3:9" x14ac:dyDescent="0.25">
      <c r="C1239" s="1">
        <v>8051299</v>
      </c>
      <c r="D1239" s="1">
        <v>1531</v>
      </c>
      <c r="E1239" s="1" t="s">
        <v>1226</v>
      </c>
      <c r="F1239" s="1">
        <v>0</v>
      </c>
      <c r="G1239" s="1" t="s">
        <v>96</v>
      </c>
      <c r="H1239" s="1"/>
      <c r="I1239" s="1"/>
    </row>
    <row r="1240" spans="3:9" x14ac:dyDescent="0.25">
      <c r="C1240" s="1">
        <v>8051300</v>
      </c>
      <c r="D1240" s="1">
        <v>1531</v>
      </c>
      <c r="E1240" s="1" t="s">
        <v>1227</v>
      </c>
      <c r="F1240" s="1">
        <v>0</v>
      </c>
      <c r="G1240" s="1" t="s">
        <v>96</v>
      </c>
      <c r="H1240" s="1"/>
      <c r="I1240" s="1"/>
    </row>
    <row r="1241" spans="3:9" x14ac:dyDescent="0.25">
      <c r="C1241" s="1">
        <v>8051302</v>
      </c>
      <c r="D1241" s="1">
        <v>1531</v>
      </c>
      <c r="E1241" s="1" t="s">
        <v>1228</v>
      </c>
      <c r="F1241" s="1">
        <v>0</v>
      </c>
      <c r="G1241" s="1" t="s">
        <v>96</v>
      </c>
      <c r="H1241" s="1"/>
      <c r="I1241" s="1"/>
    </row>
    <row r="1242" spans="3:9" x14ac:dyDescent="0.25">
      <c r="C1242" s="1">
        <v>8051303</v>
      </c>
      <c r="D1242" s="1">
        <v>1531</v>
      </c>
      <c r="E1242" s="1" t="s">
        <v>1229</v>
      </c>
      <c r="F1242" s="1">
        <v>0</v>
      </c>
      <c r="G1242" s="1" t="s">
        <v>96</v>
      </c>
      <c r="H1242" s="1"/>
      <c r="I1242" s="1"/>
    </row>
    <row r="1243" spans="3:9" x14ac:dyDescent="0.25">
      <c r="C1243" s="1">
        <v>8051304</v>
      </c>
      <c r="D1243" s="1">
        <v>1531</v>
      </c>
      <c r="E1243" s="1" t="s">
        <v>1230</v>
      </c>
      <c r="F1243" s="1">
        <v>0</v>
      </c>
      <c r="G1243" s="1" t="s">
        <v>96</v>
      </c>
      <c r="H1243" s="1"/>
      <c r="I1243" s="1"/>
    </row>
    <row r="1244" spans="3:9" x14ac:dyDescent="0.25">
      <c r="C1244" s="1">
        <v>8051483</v>
      </c>
      <c r="D1244" s="1">
        <v>1531</v>
      </c>
      <c r="E1244" s="1" t="s">
        <v>1231</v>
      </c>
      <c r="F1244" s="1">
        <v>0</v>
      </c>
      <c r="G1244" s="1" t="s">
        <v>8</v>
      </c>
      <c r="H1244" s="1"/>
      <c r="I1244" s="1"/>
    </row>
    <row r="1245" spans="3:9" x14ac:dyDescent="0.25">
      <c r="C1245" s="1">
        <v>8051487</v>
      </c>
      <c r="D1245" s="1">
        <v>1531</v>
      </c>
      <c r="E1245" s="1" t="s">
        <v>1232</v>
      </c>
      <c r="F1245" s="1">
        <v>0</v>
      </c>
      <c r="G1245" s="1" t="s">
        <v>96</v>
      </c>
      <c r="H1245" s="1"/>
      <c r="I1245" s="1"/>
    </row>
    <row r="1246" spans="3:9" x14ac:dyDescent="0.25">
      <c r="C1246" s="1">
        <v>8051488</v>
      </c>
      <c r="D1246" s="1">
        <v>1531</v>
      </c>
      <c r="E1246" s="1" t="s">
        <v>1233</v>
      </c>
      <c r="F1246" s="1">
        <v>0</v>
      </c>
      <c r="G1246" s="1" t="s">
        <v>96</v>
      </c>
      <c r="H1246" s="1"/>
      <c r="I1246" s="1"/>
    </row>
    <row r="1247" spans="3:9" x14ac:dyDescent="0.25">
      <c r="C1247" s="1">
        <v>8051499</v>
      </c>
      <c r="D1247" s="1">
        <v>1531</v>
      </c>
      <c r="E1247" s="1" t="s">
        <v>1234</v>
      </c>
      <c r="F1247" s="1">
        <v>0</v>
      </c>
      <c r="G1247" s="1" t="s">
        <v>96</v>
      </c>
      <c r="H1247" s="1"/>
      <c r="I1247" s="1"/>
    </row>
    <row r="1248" spans="3:9" x14ac:dyDescent="0.25">
      <c r="C1248" s="1">
        <v>8051540</v>
      </c>
      <c r="D1248" s="1">
        <v>1531</v>
      </c>
      <c r="E1248" s="1" t="s">
        <v>1235</v>
      </c>
      <c r="F1248" s="1">
        <v>0</v>
      </c>
      <c r="G1248" s="1" t="s">
        <v>8</v>
      </c>
      <c r="H1248" s="1"/>
      <c r="I1248" s="1"/>
    </row>
    <row r="1249" spans="3:9" x14ac:dyDescent="0.25">
      <c r="C1249" s="1">
        <v>8051541</v>
      </c>
      <c r="D1249" s="1">
        <v>1531</v>
      </c>
      <c r="E1249" s="1" t="s">
        <v>1236</v>
      </c>
      <c r="F1249" s="1">
        <v>0</v>
      </c>
      <c r="G1249" s="1" t="s">
        <v>8</v>
      </c>
      <c r="H1249" s="1"/>
      <c r="I1249" s="1"/>
    </row>
    <row r="1250" spans="3:9" x14ac:dyDescent="0.25">
      <c r="C1250" s="1">
        <v>8051544</v>
      </c>
      <c r="D1250" s="1">
        <v>1531</v>
      </c>
      <c r="E1250" s="1" t="s">
        <v>1237</v>
      </c>
      <c r="F1250" s="1">
        <v>0</v>
      </c>
      <c r="G1250" s="1" t="s">
        <v>8</v>
      </c>
      <c r="H1250" s="1"/>
      <c r="I1250" s="1"/>
    </row>
    <row r="1251" spans="3:9" x14ac:dyDescent="0.25">
      <c r="C1251" s="1">
        <v>8051585</v>
      </c>
      <c r="D1251" s="1">
        <v>1531</v>
      </c>
      <c r="E1251" s="1" t="s">
        <v>1238</v>
      </c>
      <c r="F1251" s="1">
        <v>0</v>
      </c>
      <c r="G1251" s="1" t="s">
        <v>8</v>
      </c>
      <c r="H1251" s="1"/>
      <c r="I1251" s="1"/>
    </row>
    <row r="1252" spans="3:9" x14ac:dyDescent="0.25">
      <c r="C1252" s="1">
        <v>8051586</v>
      </c>
      <c r="D1252" s="1">
        <v>1531</v>
      </c>
      <c r="E1252" s="1" t="s">
        <v>1239</v>
      </c>
      <c r="F1252" s="1">
        <v>0</v>
      </c>
      <c r="G1252" s="1" t="s">
        <v>8</v>
      </c>
      <c r="H1252" s="1"/>
      <c r="I1252" s="1"/>
    </row>
    <row r="1253" spans="3:9" x14ac:dyDescent="0.25">
      <c r="C1253" s="1">
        <v>8051588</v>
      </c>
      <c r="D1253" s="1">
        <v>1531</v>
      </c>
      <c r="E1253" s="1" t="s">
        <v>1240</v>
      </c>
      <c r="F1253" s="1">
        <v>0</v>
      </c>
      <c r="G1253" s="1" t="s">
        <v>8</v>
      </c>
      <c r="H1253" s="1"/>
      <c r="I1253" s="1"/>
    </row>
    <row r="1254" spans="3:9" x14ac:dyDescent="0.25">
      <c r="C1254" s="1">
        <v>8051592</v>
      </c>
      <c r="D1254" s="1">
        <v>1531</v>
      </c>
      <c r="E1254" s="1" t="s">
        <v>1241</v>
      </c>
      <c r="F1254" s="1">
        <v>0</v>
      </c>
      <c r="G1254" s="1" t="s">
        <v>8</v>
      </c>
      <c r="H1254" s="1"/>
      <c r="I1254" s="1"/>
    </row>
    <row r="1255" spans="3:9" x14ac:dyDescent="0.25">
      <c r="C1255" s="1">
        <v>8051593</v>
      </c>
      <c r="D1255" s="1">
        <v>1531</v>
      </c>
      <c r="E1255" s="1" t="s">
        <v>1242</v>
      </c>
      <c r="F1255" s="1">
        <v>0</v>
      </c>
      <c r="G1255" s="1" t="s">
        <v>8</v>
      </c>
      <c r="H1255" s="1"/>
      <c r="I1255" s="1"/>
    </row>
    <row r="1256" spans="3:9" x14ac:dyDescent="0.25">
      <c r="C1256" s="1">
        <v>8051721</v>
      </c>
      <c r="D1256" s="1">
        <v>1531</v>
      </c>
      <c r="E1256" s="1" t="s">
        <v>1243</v>
      </c>
      <c r="F1256" s="1">
        <v>0</v>
      </c>
      <c r="G1256" s="1" t="s">
        <v>8</v>
      </c>
      <c r="H1256" s="1"/>
      <c r="I1256" s="1"/>
    </row>
    <row r="1257" spans="3:9" x14ac:dyDescent="0.25">
      <c r="C1257" s="1">
        <v>8051727</v>
      </c>
      <c r="D1257" s="1">
        <v>1531</v>
      </c>
      <c r="E1257" s="1" t="s">
        <v>1244</v>
      </c>
      <c r="F1257" s="1">
        <v>0</v>
      </c>
      <c r="G1257" s="1" t="s">
        <v>8</v>
      </c>
      <c r="H1257" s="1"/>
      <c r="I1257" s="1"/>
    </row>
    <row r="1258" spans="3:9" x14ac:dyDescent="0.25">
      <c r="C1258" s="1">
        <v>8051743</v>
      </c>
      <c r="D1258" s="1">
        <v>1531</v>
      </c>
      <c r="E1258" s="1" t="s">
        <v>1245</v>
      </c>
      <c r="F1258" s="1">
        <v>0</v>
      </c>
      <c r="G1258" s="1" t="s">
        <v>96</v>
      </c>
      <c r="H1258" s="1"/>
      <c r="I1258" s="1"/>
    </row>
    <row r="1259" spans="3:9" x14ac:dyDescent="0.25">
      <c r="C1259" s="1">
        <v>8051749</v>
      </c>
      <c r="D1259" s="1">
        <v>1531</v>
      </c>
      <c r="E1259" s="1" t="s">
        <v>1246</v>
      </c>
      <c r="F1259" s="1">
        <v>0</v>
      </c>
      <c r="G1259" s="1" t="s">
        <v>96</v>
      </c>
      <c r="H1259" s="1"/>
      <c r="I1259" s="1"/>
    </row>
    <row r="1260" spans="3:9" x14ac:dyDescent="0.25">
      <c r="C1260" s="1">
        <v>8051752</v>
      </c>
      <c r="D1260" s="1">
        <v>1531</v>
      </c>
      <c r="E1260" s="1" t="s">
        <v>1247</v>
      </c>
      <c r="F1260" s="1">
        <v>0</v>
      </c>
      <c r="G1260" s="1" t="s">
        <v>96</v>
      </c>
      <c r="H1260" s="1"/>
      <c r="I1260" s="1"/>
    </row>
    <row r="1261" spans="3:9" x14ac:dyDescent="0.25">
      <c r="C1261" s="1">
        <v>8051807</v>
      </c>
      <c r="D1261" s="1">
        <v>1531</v>
      </c>
      <c r="E1261" s="1" t="s">
        <v>1248</v>
      </c>
      <c r="F1261" s="1">
        <v>0</v>
      </c>
      <c r="G1261" s="1" t="s">
        <v>96</v>
      </c>
      <c r="H1261" s="1"/>
      <c r="I1261" s="1"/>
    </row>
    <row r="1262" spans="3:9" x14ac:dyDescent="0.25">
      <c r="C1262" s="1">
        <v>8051808</v>
      </c>
      <c r="D1262" s="1">
        <v>1531</v>
      </c>
      <c r="E1262" s="1" t="s">
        <v>1249</v>
      </c>
      <c r="F1262" s="1">
        <v>0</v>
      </c>
      <c r="G1262" s="1" t="s">
        <v>96</v>
      </c>
      <c r="H1262" s="1"/>
      <c r="I1262" s="1"/>
    </row>
    <row r="1263" spans="3:9" x14ac:dyDescent="0.25">
      <c r="C1263" s="1">
        <v>8051809</v>
      </c>
      <c r="D1263" s="1">
        <v>1531</v>
      </c>
      <c r="E1263" s="1" t="s">
        <v>1250</v>
      </c>
      <c r="F1263" s="1">
        <v>0</v>
      </c>
      <c r="G1263" s="1" t="s">
        <v>8</v>
      </c>
      <c r="H1263" s="1"/>
      <c r="I1263" s="1"/>
    </row>
    <row r="1264" spans="3:9" x14ac:dyDescent="0.25">
      <c r="C1264" s="1">
        <v>8051810</v>
      </c>
      <c r="D1264" s="1">
        <v>1531</v>
      </c>
      <c r="E1264" s="1" t="s">
        <v>1251</v>
      </c>
      <c r="F1264" s="1">
        <v>0</v>
      </c>
      <c r="G1264" s="1" t="s">
        <v>96</v>
      </c>
      <c r="H1264" s="1"/>
      <c r="I1264" s="1"/>
    </row>
    <row r="1265" spans="3:9" x14ac:dyDescent="0.25">
      <c r="C1265" s="1">
        <v>8051816</v>
      </c>
      <c r="D1265" s="1">
        <v>1531</v>
      </c>
      <c r="E1265" s="1" t="s">
        <v>1252</v>
      </c>
      <c r="F1265" s="1">
        <v>0</v>
      </c>
      <c r="G1265" s="1" t="s">
        <v>96</v>
      </c>
      <c r="H1265" s="1"/>
      <c r="I1265" s="1"/>
    </row>
    <row r="1266" spans="3:9" x14ac:dyDescent="0.25">
      <c r="C1266" s="1">
        <v>8051879</v>
      </c>
      <c r="D1266" s="1">
        <v>1531</v>
      </c>
      <c r="E1266" s="1" t="s">
        <v>1253</v>
      </c>
      <c r="F1266" s="1">
        <v>0</v>
      </c>
      <c r="G1266" s="1" t="s">
        <v>96</v>
      </c>
      <c r="H1266" s="1"/>
      <c r="I1266" s="1"/>
    </row>
    <row r="1267" spans="3:9" x14ac:dyDescent="0.25">
      <c r="C1267" s="1">
        <v>8051881</v>
      </c>
      <c r="D1267" s="1">
        <v>1531</v>
      </c>
      <c r="E1267" s="1" t="s">
        <v>1254</v>
      </c>
      <c r="F1267" s="1">
        <v>0</v>
      </c>
      <c r="G1267" s="1" t="s">
        <v>96</v>
      </c>
      <c r="H1267" s="1"/>
      <c r="I1267" s="1"/>
    </row>
    <row r="1268" spans="3:9" x14ac:dyDescent="0.25">
      <c r="C1268" s="1">
        <v>8051885</v>
      </c>
      <c r="D1268" s="1">
        <v>1531</v>
      </c>
      <c r="E1268" s="1" t="s">
        <v>1255</v>
      </c>
      <c r="F1268" s="1">
        <v>0</v>
      </c>
      <c r="G1268" s="1" t="s">
        <v>96</v>
      </c>
      <c r="H1268" s="1"/>
      <c r="I1268" s="1"/>
    </row>
    <row r="1269" spans="3:9" x14ac:dyDescent="0.25">
      <c r="C1269" s="1">
        <v>8051906</v>
      </c>
      <c r="D1269" s="1">
        <v>1531</v>
      </c>
      <c r="E1269" s="1" t="s">
        <v>1256</v>
      </c>
      <c r="F1269" s="1">
        <v>0</v>
      </c>
      <c r="G1269" s="1" t="s">
        <v>96</v>
      </c>
      <c r="H1269" s="1"/>
      <c r="I1269" s="1"/>
    </row>
    <row r="1270" spans="3:9" x14ac:dyDescent="0.25">
      <c r="C1270" s="1">
        <v>8051907</v>
      </c>
      <c r="D1270" s="1">
        <v>1531</v>
      </c>
      <c r="E1270" s="1" t="s">
        <v>1257</v>
      </c>
      <c r="F1270" s="1">
        <v>0</v>
      </c>
      <c r="G1270" s="1" t="s">
        <v>96</v>
      </c>
      <c r="H1270" s="1"/>
      <c r="I1270" s="1"/>
    </row>
    <row r="1271" spans="3:9" x14ac:dyDescent="0.25">
      <c r="C1271" s="1">
        <v>8051908</v>
      </c>
      <c r="D1271" s="1">
        <v>1531</v>
      </c>
      <c r="E1271" s="1" t="s">
        <v>1258</v>
      </c>
      <c r="F1271" s="1">
        <v>0</v>
      </c>
      <c r="G1271" s="1" t="s">
        <v>96</v>
      </c>
      <c r="H1271" s="1"/>
      <c r="I1271" s="1"/>
    </row>
    <row r="1272" spans="3:9" x14ac:dyDescent="0.25">
      <c r="C1272" s="1">
        <v>8051909</v>
      </c>
      <c r="D1272" s="1">
        <v>1531</v>
      </c>
      <c r="E1272" s="1" t="s">
        <v>1259</v>
      </c>
      <c r="F1272" s="1">
        <v>0</v>
      </c>
      <c r="G1272" s="1" t="s">
        <v>96</v>
      </c>
      <c r="H1272" s="1"/>
      <c r="I1272" s="1"/>
    </row>
    <row r="1273" spans="3:9" x14ac:dyDescent="0.25">
      <c r="C1273" s="1">
        <v>8051910</v>
      </c>
      <c r="D1273" s="1">
        <v>1531</v>
      </c>
      <c r="E1273" s="1" t="s">
        <v>1260</v>
      </c>
      <c r="F1273" s="1">
        <v>0</v>
      </c>
      <c r="G1273" s="1" t="s">
        <v>96</v>
      </c>
      <c r="H1273" s="1"/>
      <c r="I1273" s="1"/>
    </row>
    <row r="1274" spans="3:9" x14ac:dyDescent="0.25">
      <c r="C1274" s="1">
        <v>8051911</v>
      </c>
      <c r="D1274" s="1">
        <v>1531</v>
      </c>
      <c r="E1274" s="1" t="s">
        <v>1261</v>
      </c>
      <c r="F1274" s="1">
        <v>0</v>
      </c>
      <c r="G1274" s="1" t="s">
        <v>96</v>
      </c>
      <c r="H1274" s="1"/>
      <c r="I1274" s="1"/>
    </row>
    <row r="1275" spans="3:9" x14ac:dyDescent="0.25">
      <c r="C1275" s="1">
        <v>8051912</v>
      </c>
      <c r="D1275" s="1">
        <v>1531</v>
      </c>
      <c r="E1275" s="1" t="s">
        <v>1262</v>
      </c>
      <c r="F1275" s="1">
        <v>0</v>
      </c>
      <c r="G1275" s="1" t="s">
        <v>96</v>
      </c>
      <c r="H1275" s="1"/>
      <c r="I1275" s="1"/>
    </row>
    <row r="1276" spans="3:9" x14ac:dyDescent="0.25">
      <c r="C1276" s="1">
        <v>8051913</v>
      </c>
      <c r="D1276" s="1">
        <v>1531</v>
      </c>
      <c r="E1276" s="1" t="s">
        <v>1263</v>
      </c>
      <c r="F1276" s="1">
        <v>0</v>
      </c>
      <c r="G1276" s="1" t="s">
        <v>96</v>
      </c>
      <c r="H1276" s="1"/>
      <c r="I1276" s="1"/>
    </row>
    <row r="1277" spans="3:9" x14ac:dyDescent="0.25">
      <c r="C1277" s="1">
        <v>8051914</v>
      </c>
      <c r="D1277" s="1">
        <v>1531</v>
      </c>
      <c r="E1277" s="1" t="s">
        <v>1264</v>
      </c>
      <c r="F1277" s="1">
        <v>0</v>
      </c>
      <c r="G1277" s="1" t="s">
        <v>96</v>
      </c>
      <c r="H1277" s="1"/>
      <c r="I1277" s="1"/>
    </row>
    <row r="1278" spans="3:9" x14ac:dyDescent="0.25">
      <c r="C1278" s="1">
        <v>8052044</v>
      </c>
      <c r="D1278" s="1">
        <v>1531</v>
      </c>
      <c r="E1278" s="1" t="s">
        <v>1265</v>
      </c>
      <c r="F1278" s="1">
        <v>0</v>
      </c>
      <c r="G1278" s="1" t="s">
        <v>96</v>
      </c>
      <c r="H1278" s="1"/>
      <c r="I1278" s="1"/>
    </row>
    <row r="1279" spans="3:9" x14ac:dyDescent="0.25">
      <c r="C1279" s="1">
        <v>8052048</v>
      </c>
      <c r="D1279" s="1">
        <v>1531</v>
      </c>
      <c r="E1279" s="1" t="s">
        <v>1266</v>
      </c>
      <c r="F1279" s="1">
        <v>0</v>
      </c>
      <c r="G1279" s="1" t="s">
        <v>8</v>
      </c>
      <c r="H1279" s="1"/>
      <c r="I1279" s="1"/>
    </row>
    <row r="1280" spans="3:9" x14ac:dyDescent="0.25">
      <c r="C1280" s="1">
        <v>8052055</v>
      </c>
      <c r="D1280" s="1">
        <v>1531</v>
      </c>
      <c r="E1280" s="1" t="s">
        <v>1267</v>
      </c>
      <c r="F1280" s="1">
        <v>0</v>
      </c>
      <c r="G1280" s="1" t="s">
        <v>96</v>
      </c>
      <c r="H1280" s="1"/>
      <c r="I1280" s="1"/>
    </row>
    <row r="1281" spans="3:9" x14ac:dyDescent="0.25">
      <c r="C1281" s="1">
        <v>8052056</v>
      </c>
      <c r="D1281" s="1">
        <v>1531</v>
      </c>
      <c r="E1281" s="1" t="s">
        <v>1268</v>
      </c>
      <c r="F1281" s="1">
        <v>0</v>
      </c>
      <c r="G1281" s="1" t="s">
        <v>96</v>
      </c>
      <c r="H1281" s="1"/>
      <c r="I1281" s="1"/>
    </row>
    <row r="1282" spans="3:9" x14ac:dyDescent="0.25">
      <c r="C1282" s="1">
        <v>8052057</v>
      </c>
      <c r="D1282" s="1">
        <v>1531</v>
      </c>
      <c r="E1282" s="1" t="s">
        <v>1269</v>
      </c>
      <c r="F1282" s="1">
        <v>0</v>
      </c>
      <c r="G1282" s="1" t="s">
        <v>8</v>
      </c>
      <c r="H1282" s="1"/>
      <c r="I1282" s="1"/>
    </row>
    <row r="1283" spans="3:9" x14ac:dyDescent="0.25">
      <c r="C1283" s="1">
        <v>8052058</v>
      </c>
      <c r="D1283" s="1">
        <v>1531</v>
      </c>
      <c r="E1283" s="1" t="s">
        <v>1270</v>
      </c>
      <c r="F1283" s="1">
        <v>0</v>
      </c>
      <c r="G1283" s="1" t="s">
        <v>8</v>
      </c>
      <c r="H1283" s="1"/>
      <c r="I1283" s="1"/>
    </row>
    <row r="1284" spans="3:9" x14ac:dyDescent="0.25">
      <c r="C1284" s="1">
        <v>8052063</v>
      </c>
      <c r="D1284" s="1">
        <v>1531</v>
      </c>
      <c r="E1284" s="1" t="s">
        <v>1271</v>
      </c>
      <c r="F1284" s="1">
        <v>0</v>
      </c>
      <c r="G1284" s="1" t="s">
        <v>8</v>
      </c>
      <c r="H1284" s="1"/>
      <c r="I1284" s="1"/>
    </row>
    <row r="1285" spans="3:9" x14ac:dyDescent="0.25">
      <c r="C1285" s="1">
        <v>8052096</v>
      </c>
      <c r="D1285" s="1">
        <v>1531</v>
      </c>
      <c r="E1285" s="1" t="s">
        <v>1272</v>
      </c>
      <c r="F1285" s="1">
        <v>0</v>
      </c>
      <c r="G1285" s="1" t="s">
        <v>96</v>
      </c>
      <c r="H1285" s="1"/>
      <c r="I1285" s="1"/>
    </row>
    <row r="1286" spans="3:9" x14ac:dyDescent="0.25">
      <c r="C1286" s="1">
        <v>8052097</v>
      </c>
      <c r="D1286" s="1">
        <v>1531</v>
      </c>
      <c r="E1286" s="1" t="s">
        <v>1273</v>
      </c>
      <c r="F1286" s="1">
        <v>0</v>
      </c>
      <c r="G1286" s="1" t="s">
        <v>96</v>
      </c>
      <c r="H1286" s="1"/>
      <c r="I1286" s="1"/>
    </row>
    <row r="1287" spans="3:9" x14ac:dyDescent="0.25">
      <c r="C1287" s="1">
        <v>8052100</v>
      </c>
      <c r="D1287" s="1">
        <v>1531</v>
      </c>
      <c r="E1287" s="1" t="s">
        <v>1274</v>
      </c>
      <c r="F1287" s="1">
        <v>0</v>
      </c>
      <c r="G1287" s="1" t="s">
        <v>96</v>
      </c>
      <c r="H1287" s="1"/>
      <c r="I1287" s="1"/>
    </row>
    <row r="1288" spans="3:9" x14ac:dyDescent="0.25">
      <c r="C1288" s="1">
        <v>8052101</v>
      </c>
      <c r="D1288" s="1">
        <v>1531</v>
      </c>
      <c r="E1288" s="1" t="s">
        <v>1275</v>
      </c>
      <c r="F1288" s="1">
        <v>0</v>
      </c>
      <c r="G1288" s="1" t="s">
        <v>96</v>
      </c>
      <c r="H1288" s="1"/>
      <c r="I1288" s="1"/>
    </row>
    <row r="1289" spans="3:9" x14ac:dyDescent="0.25">
      <c r="C1289" s="1">
        <v>8052103</v>
      </c>
      <c r="D1289" s="1">
        <v>1531</v>
      </c>
      <c r="E1289" s="1" t="s">
        <v>1276</v>
      </c>
      <c r="F1289" s="1">
        <v>0</v>
      </c>
      <c r="G1289" s="1" t="s">
        <v>96</v>
      </c>
      <c r="H1289" s="1"/>
      <c r="I1289" s="1"/>
    </row>
    <row r="1290" spans="3:9" x14ac:dyDescent="0.25">
      <c r="C1290" s="1">
        <v>8052104</v>
      </c>
      <c r="D1290" s="1">
        <v>1531</v>
      </c>
      <c r="E1290" s="1" t="s">
        <v>1277</v>
      </c>
      <c r="F1290" s="1">
        <v>0</v>
      </c>
      <c r="G1290" s="1" t="s">
        <v>8</v>
      </c>
      <c r="H1290" s="1"/>
      <c r="I1290" s="1"/>
    </row>
    <row r="1291" spans="3:9" x14ac:dyDescent="0.25">
      <c r="C1291" s="1">
        <v>8052105</v>
      </c>
      <c r="D1291" s="1">
        <v>1531</v>
      </c>
      <c r="E1291" s="1" t="s">
        <v>1278</v>
      </c>
      <c r="F1291" s="1">
        <v>0</v>
      </c>
      <c r="G1291" s="1" t="s">
        <v>8</v>
      </c>
      <c r="H1291" s="1"/>
      <c r="I1291" s="1"/>
    </row>
    <row r="1292" spans="3:9" x14ac:dyDescent="0.25">
      <c r="C1292" s="1">
        <v>8052118</v>
      </c>
      <c r="D1292" s="1">
        <v>1531</v>
      </c>
      <c r="E1292" s="1" t="s">
        <v>1279</v>
      </c>
      <c r="F1292" s="1">
        <v>0</v>
      </c>
      <c r="G1292" s="1" t="s">
        <v>96</v>
      </c>
      <c r="H1292" s="1"/>
      <c r="I1292" s="1"/>
    </row>
    <row r="1293" spans="3:9" x14ac:dyDescent="0.25">
      <c r="C1293" s="1">
        <v>8052119</v>
      </c>
      <c r="D1293" s="1">
        <v>1531</v>
      </c>
      <c r="E1293" s="1" t="s">
        <v>1280</v>
      </c>
      <c r="F1293" s="1">
        <v>0</v>
      </c>
      <c r="G1293" s="1" t="s">
        <v>96</v>
      </c>
      <c r="H1293" s="1"/>
      <c r="I1293" s="1"/>
    </row>
    <row r="1294" spans="3:9" x14ac:dyDescent="0.25">
      <c r="C1294" s="1">
        <v>8052146</v>
      </c>
      <c r="D1294" s="1">
        <v>1531</v>
      </c>
      <c r="E1294" s="1" t="s">
        <v>1281</v>
      </c>
      <c r="F1294" s="1">
        <v>0</v>
      </c>
      <c r="G1294" s="1" t="s">
        <v>96</v>
      </c>
      <c r="H1294" s="1"/>
      <c r="I1294" s="1"/>
    </row>
    <row r="1295" spans="3:9" x14ac:dyDescent="0.25">
      <c r="C1295" s="1">
        <v>8052168</v>
      </c>
      <c r="D1295" s="1">
        <v>1531</v>
      </c>
      <c r="E1295" s="1" t="s">
        <v>1282</v>
      </c>
      <c r="F1295" s="1">
        <v>0</v>
      </c>
      <c r="G1295" s="1" t="s">
        <v>96</v>
      </c>
      <c r="H1295" s="1"/>
      <c r="I1295" s="1"/>
    </row>
    <row r="1296" spans="3:9" x14ac:dyDescent="0.25">
      <c r="C1296" s="1">
        <v>8052170</v>
      </c>
      <c r="D1296" s="1">
        <v>1531</v>
      </c>
      <c r="E1296" s="1" t="s">
        <v>1283</v>
      </c>
      <c r="F1296" s="1">
        <v>0</v>
      </c>
      <c r="G1296" s="1" t="s">
        <v>96</v>
      </c>
      <c r="H1296" s="1"/>
      <c r="I1296" s="1"/>
    </row>
    <row r="1297" spans="3:9" x14ac:dyDescent="0.25">
      <c r="C1297" s="1">
        <v>8052202</v>
      </c>
      <c r="D1297" s="1">
        <v>1531</v>
      </c>
      <c r="E1297" s="1" t="s">
        <v>1284</v>
      </c>
      <c r="F1297" s="1">
        <v>0</v>
      </c>
      <c r="G1297" s="1" t="s">
        <v>96</v>
      </c>
      <c r="H1297" s="1"/>
      <c r="I1297" s="1"/>
    </row>
    <row r="1298" spans="3:9" x14ac:dyDescent="0.25">
      <c r="C1298" s="1">
        <v>8052205</v>
      </c>
      <c r="D1298" s="1">
        <v>1531</v>
      </c>
      <c r="E1298" s="1" t="s">
        <v>1285</v>
      </c>
      <c r="F1298" s="1">
        <v>0</v>
      </c>
      <c r="G1298" s="1" t="s">
        <v>96</v>
      </c>
      <c r="H1298" s="1"/>
      <c r="I1298" s="1"/>
    </row>
    <row r="1299" spans="3:9" x14ac:dyDescent="0.25">
      <c r="C1299" s="1">
        <v>8052209</v>
      </c>
      <c r="D1299" s="1">
        <v>1531</v>
      </c>
      <c r="E1299" s="1" t="s">
        <v>1286</v>
      </c>
      <c r="F1299" s="1">
        <v>0</v>
      </c>
      <c r="G1299" s="1" t="s">
        <v>96</v>
      </c>
      <c r="H1299" s="1"/>
      <c r="I1299" s="1"/>
    </row>
    <row r="1300" spans="3:9" x14ac:dyDescent="0.25">
      <c r="C1300" s="1">
        <v>8052223</v>
      </c>
      <c r="D1300" s="1">
        <v>1531</v>
      </c>
      <c r="E1300" s="1" t="s">
        <v>1287</v>
      </c>
      <c r="F1300" s="1">
        <v>0</v>
      </c>
      <c r="G1300" s="1" t="s">
        <v>96</v>
      </c>
      <c r="H1300" s="1"/>
      <c r="I1300" s="1"/>
    </row>
    <row r="1301" spans="3:9" x14ac:dyDescent="0.25">
      <c r="C1301" s="1">
        <v>8052227</v>
      </c>
      <c r="D1301" s="1">
        <v>1531</v>
      </c>
      <c r="E1301" s="1" t="s">
        <v>1288</v>
      </c>
      <c r="F1301" s="1">
        <v>0</v>
      </c>
      <c r="G1301" s="1" t="s">
        <v>96</v>
      </c>
      <c r="H1301" s="1"/>
      <c r="I1301" s="1"/>
    </row>
    <row r="1302" spans="3:9" x14ac:dyDescent="0.25">
      <c r="C1302" s="1">
        <v>8052228</v>
      </c>
      <c r="D1302" s="1">
        <v>1531</v>
      </c>
      <c r="E1302" s="1" t="s">
        <v>1289</v>
      </c>
      <c r="F1302" s="1">
        <v>0</v>
      </c>
      <c r="G1302" s="1" t="s">
        <v>96</v>
      </c>
      <c r="H1302" s="1"/>
      <c r="I1302" s="1"/>
    </row>
    <row r="1303" spans="3:9" x14ac:dyDescent="0.25">
      <c r="C1303" s="1">
        <v>8052229</v>
      </c>
      <c r="D1303" s="1">
        <v>1531</v>
      </c>
      <c r="E1303" s="1" t="s">
        <v>1290</v>
      </c>
      <c r="F1303" s="1">
        <v>0</v>
      </c>
      <c r="G1303" s="1" t="s">
        <v>96</v>
      </c>
      <c r="H1303" s="1"/>
      <c r="I1303" s="1"/>
    </row>
    <row r="1304" spans="3:9" x14ac:dyDescent="0.25">
      <c r="C1304" s="1">
        <v>8052231</v>
      </c>
      <c r="D1304" s="1">
        <v>1531</v>
      </c>
      <c r="E1304" s="1" t="s">
        <v>1291</v>
      </c>
      <c r="F1304" s="1">
        <v>0</v>
      </c>
      <c r="G1304" s="1" t="s">
        <v>96</v>
      </c>
      <c r="H1304" s="1"/>
      <c r="I1304" s="1"/>
    </row>
    <row r="1305" spans="3:9" x14ac:dyDescent="0.25">
      <c r="C1305" s="1">
        <v>8052235</v>
      </c>
      <c r="D1305" s="1">
        <v>1531</v>
      </c>
      <c r="E1305" s="1" t="s">
        <v>1292</v>
      </c>
      <c r="F1305" s="1">
        <v>0</v>
      </c>
      <c r="G1305" s="1" t="s">
        <v>8</v>
      </c>
      <c r="H1305" s="1"/>
      <c r="I1305" s="1"/>
    </row>
    <row r="1306" spans="3:9" x14ac:dyDescent="0.25">
      <c r="C1306" s="1">
        <v>8052236</v>
      </c>
      <c r="D1306" s="1">
        <v>1531</v>
      </c>
      <c r="E1306" s="1" t="s">
        <v>1293</v>
      </c>
      <c r="F1306" s="1">
        <v>0</v>
      </c>
      <c r="G1306" s="1" t="s">
        <v>8</v>
      </c>
      <c r="H1306" s="1"/>
      <c r="I1306" s="1"/>
    </row>
    <row r="1307" spans="3:9" x14ac:dyDescent="0.25">
      <c r="C1307" s="1">
        <v>8052237</v>
      </c>
      <c r="D1307" s="1">
        <v>1531</v>
      </c>
      <c r="E1307" s="1" t="s">
        <v>1294</v>
      </c>
      <c r="F1307" s="1">
        <v>0</v>
      </c>
      <c r="G1307" s="1" t="s">
        <v>8</v>
      </c>
      <c r="H1307" s="1"/>
      <c r="I1307" s="1"/>
    </row>
    <row r="1308" spans="3:9" x14ac:dyDescent="0.25">
      <c r="C1308" s="1">
        <v>8052240</v>
      </c>
      <c r="D1308" s="1">
        <v>1531</v>
      </c>
      <c r="E1308" s="1" t="s">
        <v>1295</v>
      </c>
      <c r="F1308" s="1">
        <v>0</v>
      </c>
      <c r="G1308" s="1" t="s">
        <v>96</v>
      </c>
      <c r="H1308" s="1"/>
      <c r="I1308" s="1"/>
    </row>
    <row r="1309" spans="3:9" x14ac:dyDescent="0.25">
      <c r="C1309" s="1">
        <v>8052242</v>
      </c>
      <c r="D1309" s="1">
        <v>1531</v>
      </c>
      <c r="E1309" s="1" t="s">
        <v>1296</v>
      </c>
      <c r="F1309" s="1">
        <v>0</v>
      </c>
      <c r="G1309" s="1" t="s">
        <v>96</v>
      </c>
      <c r="H1309" s="1"/>
      <c r="I1309" s="1"/>
    </row>
    <row r="1310" spans="3:9" x14ac:dyDescent="0.25">
      <c r="C1310" s="1">
        <v>8052244</v>
      </c>
      <c r="D1310" s="1">
        <v>1531</v>
      </c>
      <c r="E1310" s="1" t="s">
        <v>1297</v>
      </c>
      <c r="F1310" s="1">
        <v>0</v>
      </c>
      <c r="G1310" s="1" t="s">
        <v>8</v>
      </c>
      <c r="H1310" s="1"/>
      <c r="I1310" s="1"/>
    </row>
    <row r="1311" spans="3:9" x14ac:dyDescent="0.25">
      <c r="C1311" s="1">
        <v>8052245</v>
      </c>
      <c r="D1311" s="1">
        <v>1531</v>
      </c>
      <c r="E1311" s="1" t="s">
        <v>1298</v>
      </c>
      <c r="F1311" s="1">
        <v>0</v>
      </c>
      <c r="G1311" s="1" t="s">
        <v>8</v>
      </c>
      <c r="H1311" s="1"/>
      <c r="I1311" s="1"/>
    </row>
    <row r="1312" spans="3:9" x14ac:dyDescent="0.25">
      <c r="C1312" s="1">
        <v>8052246</v>
      </c>
      <c r="D1312" s="1">
        <v>1531</v>
      </c>
      <c r="E1312" s="1" t="s">
        <v>1299</v>
      </c>
      <c r="F1312" s="1">
        <v>0</v>
      </c>
      <c r="G1312" s="1" t="s">
        <v>8</v>
      </c>
      <c r="H1312" s="1"/>
      <c r="I1312" s="1"/>
    </row>
    <row r="1313" spans="3:9" x14ac:dyDescent="0.25">
      <c r="C1313" s="1">
        <v>8052247</v>
      </c>
      <c r="D1313" s="1">
        <v>1531</v>
      </c>
      <c r="E1313" s="1" t="s">
        <v>1300</v>
      </c>
      <c r="F1313" s="1">
        <v>0</v>
      </c>
      <c r="G1313" s="1" t="s">
        <v>8</v>
      </c>
      <c r="H1313" s="1"/>
      <c r="I1313" s="1"/>
    </row>
    <row r="1314" spans="3:9" x14ac:dyDescent="0.25">
      <c r="C1314" s="1">
        <v>8052249</v>
      </c>
      <c r="D1314" s="1">
        <v>1531</v>
      </c>
      <c r="E1314" s="1" t="s">
        <v>1301</v>
      </c>
      <c r="F1314" s="1">
        <v>0</v>
      </c>
      <c r="G1314" s="1" t="s">
        <v>8</v>
      </c>
      <c r="H1314" s="1"/>
      <c r="I1314" s="1"/>
    </row>
    <row r="1315" spans="3:9" x14ac:dyDescent="0.25">
      <c r="C1315" s="1">
        <v>8052276</v>
      </c>
      <c r="D1315" s="1">
        <v>1531</v>
      </c>
      <c r="E1315" s="1" t="s">
        <v>1302</v>
      </c>
      <c r="F1315" s="1">
        <v>0</v>
      </c>
      <c r="G1315" s="1" t="s">
        <v>96</v>
      </c>
      <c r="H1315" s="1"/>
      <c r="I1315" s="1"/>
    </row>
    <row r="1316" spans="3:9" x14ac:dyDescent="0.25">
      <c r="C1316" s="1">
        <v>8052277</v>
      </c>
      <c r="D1316" s="1">
        <v>1531</v>
      </c>
      <c r="E1316" s="1" t="s">
        <v>1303</v>
      </c>
      <c r="F1316" s="1">
        <v>0</v>
      </c>
      <c r="G1316" s="1" t="s">
        <v>96</v>
      </c>
      <c r="H1316" s="1"/>
      <c r="I1316" s="1"/>
    </row>
    <row r="1317" spans="3:9" x14ac:dyDescent="0.25">
      <c r="C1317" s="1">
        <v>8052281</v>
      </c>
      <c r="D1317" s="1">
        <v>1531</v>
      </c>
      <c r="E1317" s="1" t="s">
        <v>1304</v>
      </c>
      <c r="F1317" s="1">
        <v>0</v>
      </c>
      <c r="G1317" s="1" t="s">
        <v>8</v>
      </c>
      <c r="H1317" s="1"/>
      <c r="I1317" s="1"/>
    </row>
    <row r="1318" spans="3:9" x14ac:dyDescent="0.25">
      <c r="C1318" s="1">
        <v>8052294</v>
      </c>
      <c r="D1318" s="1">
        <v>1531</v>
      </c>
      <c r="E1318" s="1" t="s">
        <v>1305</v>
      </c>
      <c r="F1318" s="1">
        <v>0</v>
      </c>
      <c r="G1318" s="1" t="s">
        <v>96</v>
      </c>
      <c r="H1318" s="1"/>
      <c r="I1318" s="1"/>
    </row>
    <row r="1319" spans="3:9" x14ac:dyDescent="0.25">
      <c r="C1319" s="1">
        <v>8052295</v>
      </c>
      <c r="D1319" s="1">
        <v>1531</v>
      </c>
      <c r="E1319" s="1" t="s">
        <v>1306</v>
      </c>
      <c r="F1319" s="1">
        <v>0</v>
      </c>
      <c r="G1319" s="1" t="s">
        <v>8</v>
      </c>
      <c r="H1319" s="1"/>
      <c r="I1319" s="1"/>
    </row>
    <row r="1320" spans="3:9" x14ac:dyDescent="0.25">
      <c r="C1320" s="1">
        <v>8052298</v>
      </c>
      <c r="D1320" s="1">
        <v>1531</v>
      </c>
      <c r="E1320" s="1" t="s">
        <v>1307</v>
      </c>
      <c r="F1320" s="1">
        <v>0</v>
      </c>
      <c r="G1320" s="1" t="s">
        <v>8</v>
      </c>
      <c r="H1320" s="1"/>
      <c r="I1320" s="1"/>
    </row>
    <row r="1321" spans="3:9" x14ac:dyDescent="0.25">
      <c r="C1321" s="1">
        <v>8052299</v>
      </c>
      <c r="D1321" s="1">
        <v>1531</v>
      </c>
      <c r="E1321" s="1" t="s">
        <v>1308</v>
      </c>
      <c r="F1321" s="1">
        <v>0</v>
      </c>
      <c r="G1321" s="1" t="s">
        <v>8</v>
      </c>
      <c r="H1321" s="1"/>
      <c r="I1321" s="1"/>
    </row>
    <row r="1322" spans="3:9" x14ac:dyDescent="0.25">
      <c r="C1322" s="1">
        <v>8052300</v>
      </c>
      <c r="D1322" s="1">
        <v>1531</v>
      </c>
      <c r="E1322" s="1" t="s">
        <v>1309</v>
      </c>
      <c r="F1322" s="1">
        <v>0</v>
      </c>
      <c r="G1322" s="1" t="s">
        <v>8</v>
      </c>
      <c r="H1322" s="1"/>
      <c r="I1322" s="1"/>
    </row>
    <row r="1323" spans="3:9" x14ac:dyDescent="0.25">
      <c r="C1323" s="1">
        <v>8052302</v>
      </c>
      <c r="D1323" s="1">
        <v>1531</v>
      </c>
      <c r="E1323" s="1" t="s">
        <v>1310</v>
      </c>
      <c r="F1323" s="1">
        <v>0</v>
      </c>
      <c r="G1323" s="1" t="s">
        <v>96</v>
      </c>
      <c r="H1323" s="1"/>
      <c r="I1323" s="1"/>
    </row>
    <row r="1324" spans="3:9" x14ac:dyDescent="0.25">
      <c r="C1324" s="1">
        <v>8052303</v>
      </c>
      <c r="D1324" s="1">
        <v>1531</v>
      </c>
      <c r="E1324" s="1" t="s">
        <v>1311</v>
      </c>
      <c r="F1324" s="1">
        <v>0</v>
      </c>
      <c r="G1324" s="1" t="s">
        <v>96</v>
      </c>
      <c r="H1324" s="1"/>
      <c r="I1324" s="1"/>
    </row>
    <row r="1325" spans="3:9" x14ac:dyDescent="0.25">
      <c r="C1325" s="1">
        <v>8052305</v>
      </c>
      <c r="D1325" s="1">
        <v>1531</v>
      </c>
      <c r="E1325" s="1" t="s">
        <v>1312</v>
      </c>
      <c r="F1325" s="1">
        <v>0</v>
      </c>
      <c r="G1325" s="1" t="s">
        <v>96</v>
      </c>
      <c r="H1325" s="1"/>
      <c r="I1325" s="1"/>
    </row>
    <row r="1326" spans="3:9" x14ac:dyDescent="0.25">
      <c r="C1326" s="1">
        <v>8052306</v>
      </c>
      <c r="D1326" s="1">
        <v>1531</v>
      </c>
      <c r="E1326" s="1" t="s">
        <v>1313</v>
      </c>
      <c r="F1326" s="1">
        <v>0</v>
      </c>
      <c r="G1326" s="1" t="s">
        <v>96</v>
      </c>
      <c r="H1326" s="1"/>
      <c r="I1326" s="1"/>
    </row>
    <row r="1327" spans="3:9" x14ac:dyDescent="0.25">
      <c r="C1327" s="1">
        <v>8052307</v>
      </c>
      <c r="D1327" s="1">
        <v>1531</v>
      </c>
      <c r="E1327" s="1" t="s">
        <v>1314</v>
      </c>
      <c r="F1327" s="1">
        <v>0</v>
      </c>
      <c r="G1327" s="1" t="s">
        <v>96</v>
      </c>
      <c r="H1327" s="1"/>
      <c r="I1327" s="1"/>
    </row>
    <row r="1328" spans="3:9" x14ac:dyDescent="0.25">
      <c r="C1328" s="1">
        <v>8052308</v>
      </c>
      <c r="D1328" s="1">
        <v>1531</v>
      </c>
      <c r="E1328" s="1" t="s">
        <v>1315</v>
      </c>
      <c r="F1328" s="1">
        <v>0</v>
      </c>
      <c r="G1328" s="1" t="s">
        <v>96</v>
      </c>
      <c r="H1328" s="1"/>
      <c r="I1328" s="1"/>
    </row>
    <row r="1329" spans="3:9" x14ac:dyDescent="0.25">
      <c r="C1329" s="1">
        <v>8052309</v>
      </c>
      <c r="D1329" s="1">
        <v>1531</v>
      </c>
      <c r="E1329" s="1" t="s">
        <v>1316</v>
      </c>
      <c r="F1329" s="1">
        <v>0</v>
      </c>
      <c r="G1329" s="1" t="s">
        <v>8</v>
      </c>
      <c r="H1329" s="1"/>
      <c r="I1329" s="1"/>
    </row>
    <row r="1330" spans="3:9" x14ac:dyDescent="0.25">
      <c r="C1330" s="1">
        <v>8052856</v>
      </c>
      <c r="D1330" s="1">
        <v>1531</v>
      </c>
      <c r="E1330" s="1" t="s">
        <v>1317</v>
      </c>
      <c r="F1330" s="1">
        <v>0</v>
      </c>
      <c r="G1330" s="1" t="s">
        <v>8</v>
      </c>
      <c r="H1330" t="s">
        <v>49</v>
      </c>
      <c r="I1330" t="s">
        <v>49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E37"/>
  <sheetViews>
    <sheetView workbookViewId="0">
      <selection activeCell="C4" sqref="C4"/>
    </sheetView>
  </sheetViews>
  <sheetFormatPr baseColWidth="10" defaultRowHeight="15" x14ac:dyDescent="0.25"/>
  <cols>
    <col min="2" max="2" width="13.7109375" customWidth="1"/>
    <col min="3" max="3" width="48.7109375" customWidth="1"/>
    <col min="4" max="4" width="8.7109375" customWidth="1"/>
    <col min="5" max="5" width="6.7109375" customWidth="1"/>
  </cols>
  <sheetData>
    <row r="2" spans="2:5" ht="15.75" thickBot="1" x14ac:dyDescent="0.3">
      <c r="B2" s="136" t="s">
        <v>1359</v>
      </c>
      <c r="C2" s="136" t="s">
        <v>1351</v>
      </c>
      <c r="D2" s="136" t="s">
        <v>1385</v>
      </c>
      <c r="E2" s="136" t="s">
        <v>1386</v>
      </c>
    </row>
    <row r="3" spans="2:5" ht="15.75" thickBot="1" x14ac:dyDescent="0.3">
      <c r="B3" s="137"/>
      <c r="C3" s="137"/>
      <c r="D3" s="137"/>
      <c r="E3" s="137"/>
    </row>
    <row r="4" spans="2:5" ht="15.75" thickBot="1" x14ac:dyDescent="0.3">
      <c r="B4" s="137"/>
      <c r="C4" s="137"/>
      <c r="D4" s="137"/>
      <c r="E4" s="137"/>
    </row>
    <row r="5" spans="2:5" ht="15.75" thickBot="1" x14ac:dyDescent="0.3">
      <c r="B5" s="137"/>
      <c r="C5" s="137"/>
      <c r="D5" s="137"/>
      <c r="E5" s="137"/>
    </row>
    <row r="6" spans="2:5" ht="15.75" thickBot="1" x14ac:dyDescent="0.3">
      <c r="B6" s="137"/>
      <c r="C6" s="137"/>
      <c r="D6" s="137"/>
      <c r="E6" s="137"/>
    </row>
    <row r="7" spans="2:5" ht="15.75" thickBot="1" x14ac:dyDescent="0.3">
      <c r="B7" s="137"/>
      <c r="C7" s="137"/>
      <c r="D7" s="137"/>
      <c r="E7" s="137"/>
    </row>
    <row r="8" spans="2:5" ht="15.75" thickBot="1" x14ac:dyDescent="0.3">
      <c r="B8" s="137"/>
      <c r="C8" s="137"/>
      <c r="D8" s="137"/>
      <c r="E8" s="137"/>
    </row>
    <row r="9" spans="2:5" ht="15.75" thickBot="1" x14ac:dyDescent="0.3">
      <c r="B9" s="137"/>
      <c r="C9" s="137"/>
      <c r="D9" s="137"/>
      <c r="E9" s="137"/>
    </row>
    <row r="10" spans="2:5" ht="15.75" thickBot="1" x14ac:dyDescent="0.3">
      <c r="B10" s="137"/>
      <c r="C10" s="137"/>
      <c r="D10" s="137"/>
      <c r="E10" s="137"/>
    </row>
    <row r="11" spans="2:5" ht="15.75" thickBot="1" x14ac:dyDescent="0.3">
      <c r="B11" s="137"/>
      <c r="C11" s="137"/>
      <c r="D11" s="137"/>
      <c r="E11" s="137"/>
    </row>
    <row r="12" spans="2:5" ht="15.75" thickBot="1" x14ac:dyDescent="0.3">
      <c r="B12" s="137"/>
      <c r="C12" s="137"/>
      <c r="D12" s="137"/>
      <c r="E12" s="137"/>
    </row>
    <row r="13" spans="2:5" ht="15.75" thickBot="1" x14ac:dyDescent="0.3">
      <c r="B13" s="137"/>
      <c r="C13" s="137"/>
      <c r="D13" s="137"/>
      <c r="E13" s="137"/>
    </row>
    <row r="14" spans="2:5" ht="15.75" thickBot="1" x14ac:dyDescent="0.3">
      <c r="B14" s="137"/>
      <c r="C14" s="137"/>
      <c r="D14" s="137"/>
      <c r="E14" s="137"/>
    </row>
    <row r="15" spans="2:5" ht="15.75" thickBot="1" x14ac:dyDescent="0.3">
      <c r="B15" s="137"/>
      <c r="C15" s="137"/>
      <c r="D15" s="137"/>
      <c r="E15" s="137"/>
    </row>
    <row r="16" spans="2:5" ht="15.75" thickBot="1" x14ac:dyDescent="0.3">
      <c r="B16" s="137"/>
      <c r="C16" s="137"/>
      <c r="D16" s="137"/>
      <c r="E16" s="137"/>
    </row>
    <row r="17" spans="2:5" ht="15.75" thickBot="1" x14ac:dyDescent="0.3">
      <c r="B17" s="137"/>
      <c r="C17" s="137"/>
      <c r="D17" s="137"/>
      <c r="E17" s="137"/>
    </row>
    <row r="18" spans="2:5" ht="15.75" thickBot="1" x14ac:dyDescent="0.3">
      <c r="B18" s="137"/>
      <c r="C18" s="137"/>
      <c r="D18" s="137"/>
      <c r="E18" s="137"/>
    </row>
    <row r="19" spans="2:5" ht="15.75" thickBot="1" x14ac:dyDescent="0.3">
      <c r="B19" s="137"/>
      <c r="C19" s="137"/>
      <c r="D19" s="137"/>
      <c r="E19" s="137"/>
    </row>
    <row r="20" spans="2:5" ht="15.75" thickBot="1" x14ac:dyDescent="0.3">
      <c r="B20" s="137"/>
      <c r="C20" s="137"/>
      <c r="D20" s="137"/>
      <c r="E20" s="137"/>
    </row>
    <row r="21" spans="2:5" ht="15.75" thickBot="1" x14ac:dyDescent="0.3">
      <c r="B21" s="137"/>
      <c r="C21" s="137"/>
      <c r="D21" s="137"/>
      <c r="E21" s="137"/>
    </row>
    <row r="22" spans="2:5" ht="15.75" thickBot="1" x14ac:dyDescent="0.3">
      <c r="B22" s="137"/>
      <c r="C22" s="137"/>
      <c r="D22" s="137"/>
      <c r="E22" s="137"/>
    </row>
    <row r="23" spans="2:5" ht="15.75" thickBot="1" x14ac:dyDescent="0.3">
      <c r="B23" s="137"/>
      <c r="C23" s="137"/>
      <c r="D23" s="137"/>
      <c r="E23" s="137"/>
    </row>
    <row r="24" spans="2:5" ht="15.75" thickBot="1" x14ac:dyDescent="0.3">
      <c r="B24" s="137"/>
      <c r="C24" s="137"/>
      <c r="D24" s="137"/>
      <c r="E24" s="137"/>
    </row>
    <row r="25" spans="2:5" ht="15.75" thickBot="1" x14ac:dyDescent="0.3">
      <c r="B25" s="137"/>
      <c r="C25" s="137"/>
      <c r="D25" s="137"/>
      <c r="E25" s="137"/>
    </row>
    <row r="26" spans="2:5" ht="15.75" thickBot="1" x14ac:dyDescent="0.3">
      <c r="B26" s="137"/>
      <c r="C26" s="137"/>
      <c r="D26" s="137"/>
      <c r="E26" s="137"/>
    </row>
    <row r="27" spans="2:5" ht="15.75" thickBot="1" x14ac:dyDescent="0.3">
      <c r="B27" s="137"/>
      <c r="C27" s="137"/>
      <c r="D27" s="137"/>
      <c r="E27" s="137"/>
    </row>
    <row r="28" spans="2:5" ht="15.75" thickBot="1" x14ac:dyDescent="0.3">
      <c r="B28" s="137"/>
      <c r="C28" s="137"/>
      <c r="D28" s="137"/>
      <c r="E28" s="137"/>
    </row>
    <row r="29" spans="2:5" ht="15.75" thickBot="1" x14ac:dyDescent="0.3">
      <c r="B29" s="137"/>
      <c r="C29" s="137"/>
      <c r="D29" s="137"/>
      <c r="E29" s="137"/>
    </row>
    <row r="30" spans="2:5" ht="15.75" thickBot="1" x14ac:dyDescent="0.3">
      <c r="B30" s="137"/>
      <c r="C30" s="137"/>
      <c r="D30" s="137"/>
      <c r="E30" s="137"/>
    </row>
    <row r="31" spans="2:5" ht="15.75" thickBot="1" x14ac:dyDescent="0.3">
      <c r="B31" s="137"/>
      <c r="C31" s="137"/>
      <c r="D31" s="137"/>
      <c r="E31" s="137"/>
    </row>
    <row r="32" spans="2:5" ht="15.75" thickBot="1" x14ac:dyDescent="0.3">
      <c r="B32" s="137"/>
      <c r="C32" s="137"/>
      <c r="D32" s="137"/>
      <c r="E32" s="137"/>
    </row>
    <row r="33" spans="2:5" ht="15.75" thickBot="1" x14ac:dyDescent="0.3">
      <c r="B33" s="137"/>
      <c r="C33" s="137"/>
      <c r="D33" s="137"/>
      <c r="E33" s="137"/>
    </row>
    <row r="34" spans="2:5" ht="15.75" thickBot="1" x14ac:dyDescent="0.3">
      <c r="B34" s="137"/>
      <c r="C34" s="137"/>
      <c r="D34" s="137"/>
      <c r="E34" s="137"/>
    </row>
    <row r="35" spans="2:5" ht="15.75" thickBot="1" x14ac:dyDescent="0.3">
      <c r="B35" s="137"/>
      <c r="C35" s="137"/>
      <c r="D35" s="137"/>
      <c r="E35" s="137"/>
    </row>
    <row r="36" spans="2:5" ht="15.75" thickBot="1" x14ac:dyDescent="0.3">
      <c r="B36" s="137"/>
      <c r="C36" s="137"/>
      <c r="D36" s="137"/>
      <c r="E36" s="137"/>
    </row>
    <row r="37" spans="2:5" x14ac:dyDescent="0.25">
      <c r="B37" s="135"/>
      <c r="C37" s="135"/>
      <c r="D37" s="135"/>
      <c r="E37" s="135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3:L83"/>
  <sheetViews>
    <sheetView showGridLines="0" workbookViewId="0">
      <pane xSplit="1" ySplit="4" topLeftCell="B30" activePane="bottomRight" state="frozen"/>
      <selection pane="topRight" activeCell="B1" sqref="B1"/>
      <selection pane="bottomLeft" activeCell="A5" sqref="A5"/>
      <selection pane="bottomRight" activeCell="B5" sqref="B5:B67"/>
    </sheetView>
  </sheetViews>
  <sheetFormatPr baseColWidth="10" defaultRowHeight="15" outlineLevelCol="2" x14ac:dyDescent="0.25"/>
  <cols>
    <col min="1" max="1" width="0" hidden="1" customWidth="1"/>
    <col min="2" max="2" width="10.28515625" bestFit="1" customWidth="1"/>
    <col min="3" max="3" width="52.7109375" bestFit="1" customWidth="1"/>
    <col min="4" max="5" width="8.42578125" style="48" bestFit="1" customWidth="1"/>
    <col min="6" max="6" width="8.7109375" style="138" bestFit="1" customWidth="1"/>
    <col min="7" max="7" width="12" style="48" bestFit="1" customWidth="1"/>
    <col min="8" max="8" width="15.5703125" style="48" customWidth="1"/>
    <col min="9" max="9" width="11.42578125" style="48" customWidth="1" outlineLevel="1"/>
    <col min="10" max="10" width="11.42578125" style="48" customWidth="1" outlineLevel="2"/>
    <col min="11" max="12" width="11.42578125" style="48"/>
  </cols>
  <sheetData>
    <row r="3" spans="2:7" ht="15.75" thickBot="1" x14ac:dyDescent="0.3"/>
    <row r="4" spans="2:7" x14ac:dyDescent="0.25">
      <c r="B4" s="2" t="s">
        <v>2</v>
      </c>
      <c r="C4" s="3" t="s">
        <v>1318</v>
      </c>
      <c r="D4" s="42" t="s">
        <v>1319</v>
      </c>
      <c r="E4" s="43" t="s">
        <v>1320</v>
      </c>
      <c r="F4" s="139" t="s">
        <v>1321</v>
      </c>
      <c r="G4" s="44" t="s">
        <v>1322</v>
      </c>
    </row>
    <row r="5" spans="2:7" ht="15.75" x14ac:dyDescent="0.25">
      <c r="B5" s="4">
        <v>8000916</v>
      </c>
      <c r="C5" s="5" t="s">
        <v>1326</v>
      </c>
      <c r="D5" s="49">
        <f>VLOOKUP(B5,'INVENTARIO(MB52)'!C:F,4,0)</f>
        <v>313</v>
      </c>
      <c r="E5" s="49">
        <f>VLOOKUP(B5,INV.FISICO!B:S,18,0)</f>
        <v>313</v>
      </c>
      <c r="F5" s="49" t="str">
        <f>IFERROR(VLOOKUP(B5,MIGO!B:D,3,0),"0,00")</f>
        <v>0,00</v>
      </c>
      <c r="G5" s="31">
        <f>D5-E5-F5</f>
        <v>0</v>
      </c>
    </row>
    <row r="6" spans="2:7" ht="15.75" x14ac:dyDescent="0.25">
      <c r="B6" s="4">
        <v>8000829</v>
      </c>
      <c r="C6" s="5" t="s">
        <v>1327</v>
      </c>
      <c r="D6" s="49">
        <f>VLOOKUP(B6,'INVENTARIO(MB52)'!C:F,4,0)</f>
        <v>847</v>
      </c>
      <c r="E6" s="49">
        <f>VLOOKUP(B6,INV.FISICO!B:S,18,0)</f>
        <v>847</v>
      </c>
      <c r="F6" s="49" t="str">
        <f>IFERROR(VLOOKUP(B6,MIGO!B:D,3,0),"0,00")</f>
        <v>0,00</v>
      </c>
      <c r="G6" s="31">
        <f t="shared" ref="G6:G69" si="0">D6-E6-F6</f>
        <v>0</v>
      </c>
    </row>
    <row r="7" spans="2:7" ht="15.75" x14ac:dyDescent="0.25">
      <c r="B7" s="4">
        <v>8000832</v>
      </c>
      <c r="C7" s="5" t="s">
        <v>1328</v>
      </c>
      <c r="D7" s="49">
        <f>VLOOKUP(B7,'INVENTARIO(MB52)'!C:F,4,0)</f>
        <v>4171</v>
      </c>
      <c r="E7" s="49">
        <f>VLOOKUP(B7,INV.FISICO!B:S,18,0)</f>
        <v>2980</v>
      </c>
      <c r="F7" s="49" t="str">
        <f>IFERROR(VLOOKUP(B7,MIGO!B:D,3,0),"0,00")</f>
        <v>0,00</v>
      </c>
      <c r="G7" s="31">
        <f t="shared" si="0"/>
        <v>1191</v>
      </c>
    </row>
    <row r="8" spans="2:7" ht="15.75" hidden="1" x14ac:dyDescent="0.25">
      <c r="B8" s="4">
        <v>8012552</v>
      </c>
      <c r="C8" s="5" t="str">
        <f>VLOOKUP(B8,'[1]Inv. peliculas'!B$1:C$65536,2,0)</f>
        <v>PEL Inferior Cryovac x434x60</v>
      </c>
      <c r="D8" s="49">
        <f>VLOOKUP(B8,'INVENTARIO(MB52)'!C:F,4,0)</f>
        <v>0</v>
      </c>
      <c r="E8" s="49">
        <f>VLOOKUP(B8,INV.FISICO!B:S,18,0)</f>
        <v>0</v>
      </c>
      <c r="F8" s="49" t="str">
        <f>IFERROR(VLOOKUP(B8,MIGO!B:D,3,0),"0,00")</f>
        <v>0,00</v>
      </c>
      <c r="G8" s="31">
        <f t="shared" si="0"/>
        <v>0</v>
      </c>
    </row>
    <row r="9" spans="2:7" ht="15.75" x14ac:dyDescent="0.25">
      <c r="B9" s="6">
        <v>8025777</v>
      </c>
      <c r="C9" s="7" t="s">
        <v>1329</v>
      </c>
      <c r="D9" s="49">
        <f>VLOOKUP(B9,'INVENTARIO(MB52)'!C:F,4,0)</f>
        <v>860</v>
      </c>
      <c r="E9" s="49">
        <f>VLOOKUP(B9,INV.FISICO!B:S,18,0)</f>
        <v>860</v>
      </c>
      <c r="F9" s="49" t="str">
        <f>IFERROR(VLOOKUP(B9,MIGO!B:D,3,0),"0,00")</f>
        <v>0,00</v>
      </c>
      <c r="G9" s="31">
        <f t="shared" si="0"/>
        <v>0</v>
      </c>
    </row>
    <row r="10" spans="2:7" ht="15.75" x14ac:dyDescent="0.25">
      <c r="B10" s="6">
        <v>8019450</v>
      </c>
      <c r="C10" s="8" t="s">
        <v>1330</v>
      </c>
      <c r="D10" s="49">
        <f>VLOOKUP(B10,'INVENTARIO(MB52)'!C:F,4,0)</f>
        <v>1859</v>
      </c>
      <c r="E10" s="49">
        <f>VLOOKUP(B10,INV.FISICO!B:S,18,0)</f>
        <v>1435</v>
      </c>
      <c r="F10" s="49" t="str">
        <f>IFERROR(VLOOKUP(B10,MIGO!B:D,3,0),"0,00")</f>
        <v>0,00</v>
      </c>
      <c r="G10" s="31">
        <f t="shared" si="0"/>
        <v>424</v>
      </c>
    </row>
    <row r="11" spans="2:7" ht="15.75" x14ac:dyDescent="0.25">
      <c r="B11" s="6">
        <v>8025703</v>
      </c>
      <c r="C11" s="7" t="s">
        <v>1331</v>
      </c>
      <c r="D11" s="49">
        <f>VLOOKUP(B11,'INVENTARIO(MB52)'!C:F,4,0)</f>
        <v>1024</v>
      </c>
      <c r="E11" s="49">
        <f>VLOOKUP(B11,INV.FISICO!B:S,18,0)</f>
        <v>1024</v>
      </c>
      <c r="F11" s="49" t="str">
        <f>IFERROR(VLOOKUP(B11,MIGO!B:D,3,0),"0,00")</f>
        <v>0,00</v>
      </c>
      <c r="G11" s="31">
        <f t="shared" si="0"/>
        <v>0</v>
      </c>
    </row>
    <row r="12" spans="2:7" ht="15.75" x14ac:dyDescent="0.25">
      <c r="B12" s="6">
        <v>8019568</v>
      </c>
      <c r="C12" s="7" t="s">
        <v>1332</v>
      </c>
      <c r="D12" s="49">
        <f>VLOOKUP(B12,'INVENTARIO(MB52)'!C:F,4,0)</f>
        <v>698</v>
      </c>
      <c r="E12" s="49">
        <f>VLOOKUP(B12,INV.FISICO!B:S,18,0)</f>
        <v>448</v>
      </c>
      <c r="F12" s="49" t="str">
        <f>IFERROR(VLOOKUP(B12,MIGO!B:D,3,0),"0,00")</f>
        <v>0,00</v>
      </c>
      <c r="G12" s="31">
        <f t="shared" si="0"/>
        <v>250</v>
      </c>
    </row>
    <row r="13" spans="2:7" ht="15.75" x14ac:dyDescent="0.25">
      <c r="B13" s="9">
        <v>8024277</v>
      </c>
      <c r="C13" s="10" t="s">
        <v>938</v>
      </c>
      <c r="D13" s="49">
        <f>VLOOKUP(B13,'INVENTARIO(MB52)'!C:F,4,0)</f>
        <v>1159</v>
      </c>
      <c r="E13" s="49">
        <f>VLOOKUP(B13,INV.FISICO!B:S,18,0)</f>
        <v>1159</v>
      </c>
      <c r="F13" s="49" t="str">
        <f>IFERROR(VLOOKUP(B13,MIGO!B:D,3,0),"0,00")</f>
        <v>0,00</v>
      </c>
      <c r="G13" s="31">
        <f t="shared" si="0"/>
        <v>0</v>
      </c>
    </row>
    <row r="14" spans="2:7" ht="15.75" x14ac:dyDescent="0.25">
      <c r="B14" s="9">
        <v>8024278</v>
      </c>
      <c r="C14" s="10" t="s">
        <v>939</v>
      </c>
      <c r="D14" s="49">
        <f>VLOOKUP(B14,'INVENTARIO(MB52)'!C:F,4,0)</f>
        <v>652</v>
      </c>
      <c r="E14" s="49">
        <f>VLOOKUP(B14,INV.FISICO!B:S,18,0)</f>
        <v>652</v>
      </c>
      <c r="F14" s="49" t="str">
        <f>IFERROR(VLOOKUP(B14,MIGO!B:D,3,0),"0,00")</f>
        <v>0,00</v>
      </c>
      <c r="G14" s="31">
        <f t="shared" si="0"/>
        <v>0</v>
      </c>
    </row>
    <row r="15" spans="2:7" ht="15.75" x14ac:dyDescent="0.25">
      <c r="B15" s="9">
        <v>8022770</v>
      </c>
      <c r="C15" s="10" t="s">
        <v>932</v>
      </c>
      <c r="D15" s="49">
        <f>VLOOKUP(B15,'INVENTARIO(MB52)'!C:F,4,0)</f>
        <v>658</v>
      </c>
      <c r="E15" s="49">
        <f>VLOOKUP(B15,INV.FISICO!B:S,18,0)</f>
        <v>658</v>
      </c>
      <c r="F15" s="49" t="str">
        <f>IFERROR(VLOOKUP(B15,MIGO!B:D,3,0),"0,00")</f>
        <v>0,00</v>
      </c>
      <c r="G15" s="31">
        <f t="shared" si="0"/>
        <v>0</v>
      </c>
    </row>
    <row r="16" spans="2:7" ht="15.75" x14ac:dyDescent="0.25">
      <c r="B16" s="9">
        <v>8024351</v>
      </c>
      <c r="C16" s="10" t="s">
        <v>941</v>
      </c>
      <c r="D16" s="49">
        <f>VLOOKUP(B16,'INVENTARIO(MB52)'!C:F,4,0)</f>
        <v>690</v>
      </c>
      <c r="E16" s="49">
        <f>VLOOKUP(B16,INV.FISICO!B:S,18,0)</f>
        <v>690</v>
      </c>
      <c r="F16" s="49" t="str">
        <f>IFERROR(VLOOKUP(B16,MIGO!B:D,3,0),"0,00")</f>
        <v>0,00</v>
      </c>
      <c r="G16" s="31">
        <f t="shared" si="0"/>
        <v>0</v>
      </c>
    </row>
    <row r="17" spans="2:7" ht="15.75" x14ac:dyDescent="0.25">
      <c r="B17" s="9">
        <v>8048668</v>
      </c>
      <c r="C17" s="10" t="s">
        <v>1191</v>
      </c>
      <c r="D17" s="49">
        <f>VLOOKUP(B17,'INVENTARIO(MB52)'!C:F,4,0)</f>
        <v>1383</v>
      </c>
      <c r="E17" s="49">
        <f>VLOOKUP(B17,INV.FISICO!B:S,18,0)</f>
        <v>812</v>
      </c>
      <c r="F17" s="49" t="str">
        <f>IFERROR(VLOOKUP(B17,MIGO!B:D,3,0),"0,00")</f>
        <v>0,00</v>
      </c>
      <c r="G17" s="31">
        <f t="shared" si="0"/>
        <v>571</v>
      </c>
    </row>
    <row r="18" spans="2:7" ht="15.75" x14ac:dyDescent="0.25">
      <c r="B18" s="20">
        <v>8029494</v>
      </c>
      <c r="C18" s="21" t="s">
        <v>1333</v>
      </c>
      <c r="D18" s="49">
        <f>VLOOKUP(B18,'INVENTARIO(MB52)'!C:F,4,0)</f>
        <v>1687</v>
      </c>
      <c r="E18" s="49">
        <f>VLOOKUP(B18,INV.FISICO!B:S,18,0)</f>
        <v>1687</v>
      </c>
      <c r="F18" s="49" t="str">
        <f>IFERROR(VLOOKUP(B18,MIGO!B:D,3,0),"0,00")</f>
        <v>0,00</v>
      </c>
      <c r="G18" s="31">
        <f t="shared" si="0"/>
        <v>0</v>
      </c>
    </row>
    <row r="19" spans="2:7" ht="15.75" x14ac:dyDescent="0.25">
      <c r="B19" s="20">
        <v>8044206</v>
      </c>
      <c r="C19" s="21" t="str">
        <f>VLOOKUP(B19,'[1]Inv. peliculas'!B$1:C$65536,2,0)</f>
        <v>PELI Schon cvro taj zenu x 60g x 407 x 2</v>
      </c>
      <c r="D19" s="49">
        <f>VLOOKUP(B19,'INVENTARIO(MB52)'!C:F,4,0)</f>
        <v>172</v>
      </c>
      <c r="E19" s="49">
        <f>VLOOKUP(B19,INV.FISICO!B:S,18,0)</f>
        <v>172</v>
      </c>
      <c r="F19" s="49" t="str">
        <f>IFERROR(VLOOKUP(B19,MIGO!B:D,3,0),"0,00")</f>
        <v>0,00</v>
      </c>
      <c r="G19" s="31">
        <f t="shared" si="0"/>
        <v>0</v>
      </c>
    </row>
    <row r="20" spans="2:7" ht="15.75" x14ac:dyDescent="0.25">
      <c r="B20" s="20">
        <v>8038477</v>
      </c>
      <c r="C20" s="21" t="s">
        <v>1334</v>
      </c>
      <c r="D20" s="49">
        <f>VLOOKUP(B20,'INVENTARIO(MB52)'!C:F,4,0)</f>
        <v>173</v>
      </c>
      <c r="E20" s="49">
        <f>VLOOKUP(B20,INV.FISICO!B:S,18,0)</f>
        <v>173</v>
      </c>
      <c r="F20" s="49" t="str">
        <f>IFERROR(VLOOKUP(B20,MIGO!B:D,3,0),"0,00")</f>
        <v>0,00</v>
      </c>
      <c r="G20" s="31">
        <f t="shared" si="0"/>
        <v>0</v>
      </c>
    </row>
    <row r="21" spans="2:7" ht="15.75" x14ac:dyDescent="0.25">
      <c r="B21" s="24">
        <v>8000878</v>
      </c>
      <c r="C21" s="25" t="s">
        <v>1335</v>
      </c>
      <c r="D21" s="49">
        <f>VLOOKUP(B21,'INVENTARIO(MB52)'!C:F,4,0)</f>
        <v>86</v>
      </c>
      <c r="E21" s="49">
        <f>VLOOKUP(B21,INV.FISICO!B:S,18,0)</f>
        <v>86</v>
      </c>
      <c r="F21" s="49" t="str">
        <f>IFERROR(VLOOKUP(B21,MIGO!B:D,3,0),"0,00")</f>
        <v>0,00</v>
      </c>
      <c r="G21" s="31">
        <f t="shared" si="0"/>
        <v>0</v>
      </c>
    </row>
    <row r="22" spans="2:7" ht="15.75" x14ac:dyDescent="0.25">
      <c r="B22" s="24">
        <v>8000860</v>
      </c>
      <c r="C22" s="25" t="s">
        <v>1336</v>
      </c>
      <c r="D22" s="49">
        <f>VLOOKUP(B22,'INVENTARIO(MB52)'!C:F,4,0)</f>
        <v>480</v>
      </c>
      <c r="E22" s="49">
        <f>VLOOKUP(B22,INV.FISICO!B:S,18,0)</f>
        <v>480</v>
      </c>
      <c r="F22" s="49" t="str">
        <f>IFERROR(VLOOKUP(B22,MIGO!B:D,3,0),"0,00")</f>
        <v>0,00</v>
      </c>
      <c r="G22" s="31">
        <f t="shared" si="0"/>
        <v>0</v>
      </c>
    </row>
    <row r="23" spans="2:7" ht="15.75" x14ac:dyDescent="0.25">
      <c r="B23" s="24">
        <v>8039823</v>
      </c>
      <c r="C23" s="25" t="s">
        <v>1337</v>
      </c>
      <c r="D23" s="49">
        <f>VLOOKUP(B23,'INVENTARIO(MB52)'!C:F,4,0)</f>
        <v>736</v>
      </c>
      <c r="E23" s="49">
        <f>VLOOKUP(B23,INV.FISICO!B:S,18,0)</f>
        <v>736</v>
      </c>
      <c r="F23" s="49" t="str">
        <f>IFERROR(VLOOKUP(B23,MIGO!B:D,3,0),"0,00")</f>
        <v>0,00</v>
      </c>
      <c r="G23" s="31">
        <f t="shared" si="0"/>
        <v>0</v>
      </c>
    </row>
    <row r="24" spans="2:7" ht="15.75" x14ac:dyDescent="0.25">
      <c r="B24" s="24">
        <v>8039824</v>
      </c>
      <c r="C24" s="25" t="s">
        <v>1073</v>
      </c>
      <c r="D24" s="49">
        <f>VLOOKUP(B24,'INVENTARIO(MB52)'!C:F,4,0)</f>
        <v>0</v>
      </c>
      <c r="E24" s="49">
        <f>VLOOKUP(B24,INV.FISICO!B:S,18,0)</f>
        <v>0</v>
      </c>
      <c r="F24" s="49" t="str">
        <f>IFERROR(VLOOKUP(B24,MIGO!B:D,3,0),"0,00")</f>
        <v>0,00</v>
      </c>
      <c r="G24" s="31">
        <f t="shared" si="0"/>
        <v>0</v>
      </c>
    </row>
    <row r="25" spans="2:7" ht="15.75" x14ac:dyDescent="0.25">
      <c r="B25" s="22">
        <v>8028091</v>
      </c>
      <c r="C25" s="23" t="s">
        <v>1338</v>
      </c>
      <c r="D25" s="49">
        <f>VLOOKUP(B25,'INVENTARIO(MB52)'!C:F,4,0)</f>
        <v>105</v>
      </c>
      <c r="E25" s="49">
        <f>VLOOKUP(B25,INV.FISICO!B:S,18,0)</f>
        <v>105</v>
      </c>
      <c r="F25" s="49" t="str">
        <f>IFERROR(VLOOKUP(B25,MIGO!B:D,3,0),"0,00")</f>
        <v>0,00</v>
      </c>
      <c r="G25" s="31">
        <f t="shared" si="0"/>
        <v>0</v>
      </c>
    </row>
    <row r="26" spans="2:7" ht="15.75" x14ac:dyDescent="0.25">
      <c r="B26" s="22">
        <v>8028073</v>
      </c>
      <c r="C26" s="23" t="s">
        <v>1339</v>
      </c>
      <c r="D26" s="49">
        <f>VLOOKUP(B26,'INVENTARIO(MB52)'!C:F,4,0)</f>
        <v>603</v>
      </c>
      <c r="E26" s="49">
        <f>VLOOKUP(B26,INV.FISICO!B:S,18,0)</f>
        <v>166</v>
      </c>
      <c r="F26" s="49" t="str">
        <f>IFERROR(VLOOKUP(B26,MIGO!B:D,3,0),"0,00")</f>
        <v>0,00</v>
      </c>
      <c r="G26" s="31">
        <f t="shared" si="0"/>
        <v>437</v>
      </c>
    </row>
    <row r="27" spans="2:7" ht="15.75" x14ac:dyDescent="0.25">
      <c r="B27" s="22">
        <v>8026628</v>
      </c>
      <c r="C27" s="23" t="s">
        <v>1340</v>
      </c>
      <c r="D27" s="49">
        <f>VLOOKUP(B27,'INVENTARIO(MB52)'!C:F,4,0)</f>
        <v>1344</v>
      </c>
      <c r="E27" s="49">
        <f>VLOOKUP(B27,INV.FISICO!B:S,18,0)</f>
        <v>1344</v>
      </c>
      <c r="F27" s="49" t="str">
        <f>IFERROR(VLOOKUP(B27,MIGO!B:D,3,0),"0,00")</f>
        <v>0,00</v>
      </c>
      <c r="G27" s="31">
        <f t="shared" si="0"/>
        <v>0</v>
      </c>
    </row>
    <row r="28" spans="2:7" ht="15.75" x14ac:dyDescent="0.25">
      <c r="B28" s="22">
        <v>8028089</v>
      </c>
      <c r="C28" s="23" t="s">
        <v>940</v>
      </c>
      <c r="D28" s="49">
        <f>VLOOKUP(B28,'INVENTARIO(MB52)'!C:F,4,0)</f>
        <v>838</v>
      </c>
      <c r="E28" s="49">
        <f>VLOOKUP(B28,INV.FISICO!B:S,18,0)</f>
        <v>838</v>
      </c>
      <c r="F28" s="49" t="str">
        <f>IFERROR(VLOOKUP(B28,MIGO!B:D,3,0),"0,00")</f>
        <v>0,00</v>
      </c>
      <c r="G28" s="31">
        <f t="shared" si="0"/>
        <v>0</v>
      </c>
    </row>
    <row r="29" spans="2:7" ht="15.75" x14ac:dyDescent="0.25">
      <c r="B29" s="22">
        <v>8046832</v>
      </c>
      <c r="C29" s="23" t="str">
        <f>VLOOKUP(B29,'[1]Inv. peliculas'!B$1:C$65536,2,0)</f>
        <v>Pel. Imp. Scha Big Pollo 1000g 1,8 Mils azul</v>
      </c>
      <c r="D29" s="49">
        <f>VLOOKUP(B29,'INVENTARIO(MB52)'!C:F,4,0)</f>
        <v>1039</v>
      </c>
      <c r="E29" s="49">
        <f>VLOOKUP(B29,INV.FISICO!B:S,18,0)</f>
        <v>1039</v>
      </c>
      <c r="F29" s="49" t="str">
        <f>IFERROR(VLOOKUP(B29,MIGO!B:D,3,0),"0,00")</f>
        <v>0,00</v>
      </c>
      <c r="G29" s="31">
        <f t="shared" si="0"/>
        <v>0</v>
      </c>
    </row>
    <row r="30" spans="2:7" ht="15.75" x14ac:dyDescent="0.25">
      <c r="B30" s="26">
        <v>8013461</v>
      </c>
      <c r="C30" s="27" t="s">
        <v>1341</v>
      </c>
      <c r="D30" s="49">
        <f>VLOOKUP(B30,'INVENTARIO(MB52)'!C:F,4,0)</f>
        <v>0</v>
      </c>
      <c r="E30" s="49">
        <f>VLOOKUP(B30,INV.FISICO!B:S,18,0)</f>
        <v>0</v>
      </c>
      <c r="F30" s="49" t="str">
        <f>IFERROR(VLOOKUP(B30,MIGO!B:D,3,0),"0,00")</f>
        <v>0,00</v>
      </c>
      <c r="G30" s="31">
        <f t="shared" si="0"/>
        <v>0</v>
      </c>
    </row>
    <row r="31" spans="2:7" ht="15.75" x14ac:dyDescent="0.25">
      <c r="B31" s="26">
        <v>8048671</v>
      </c>
      <c r="C31" s="27" t="s">
        <v>1193</v>
      </c>
      <c r="D31" s="49">
        <f>VLOOKUP(B31,'INVENTARIO(MB52)'!C:F,4,0)</f>
        <v>675</v>
      </c>
      <c r="E31" s="49">
        <f>VLOOKUP(B31,INV.FISICO!B:S,18,0)</f>
        <v>675</v>
      </c>
      <c r="F31" s="49" t="str">
        <f>IFERROR(VLOOKUP(B31,MIGO!B:D,3,0),"0,00")</f>
        <v>0,00</v>
      </c>
      <c r="G31" s="31">
        <f t="shared" si="0"/>
        <v>0</v>
      </c>
    </row>
    <row r="32" spans="2:7" ht="15.75" x14ac:dyDescent="0.25">
      <c r="B32" s="28">
        <v>8001056</v>
      </c>
      <c r="C32" s="29" t="s">
        <v>772</v>
      </c>
      <c r="D32" s="49">
        <f>VLOOKUP(B32,'INVENTARIO(MB52)'!C:F,4,0)</f>
        <v>763</v>
      </c>
      <c r="E32" s="49">
        <f>VLOOKUP(B32,INV.FISICO!B:S,18,0)</f>
        <v>763</v>
      </c>
      <c r="F32" s="49" t="str">
        <f>IFERROR(VLOOKUP(B32,MIGO!B:D,3,0),"0,00")</f>
        <v>0,00</v>
      </c>
      <c r="G32" s="31">
        <f t="shared" si="0"/>
        <v>0</v>
      </c>
    </row>
    <row r="33" spans="2:7" ht="15.75" x14ac:dyDescent="0.25">
      <c r="B33" s="28">
        <v>8019356</v>
      </c>
      <c r="C33" s="29" t="s">
        <v>906</v>
      </c>
      <c r="D33" s="49">
        <f>VLOOKUP(B33,'INVENTARIO(MB52)'!C:F,4,0)</f>
        <v>2399</v>
      </c>
      <c r="E33" s="49">
        <f>VLOOKUP(B33,INV.FISICO!B:S,18,0)</f>
        <v>2399</v>
      </c>
      <c r="F33" s="49" t="str">
        <f>IFERROR(VLOOKUP(B33,MIGO!B:D,3,0),"0,00")</f>
        <v>0,00</v>
      </c>
      <c r="G33" s="31">
        <f t="shared" si="0"/>
        <v>0</v>
      </c>
    </row>
    <row r="34" spans="2:7" ht="15.75" x14ac:dyDescent="0.25">
      <c r="B34" s="28">
        <v>8001093</v>
      </c>
      <c r="C34" s="29" t="s">
        <v>782</v>
      </c>
      <c r="D34" s="49">
        <f>VLOOKUP(B34,'INVENTARIO(MB52)'!C:F,4,0)</f>
        <v>928</v>
      </c>
      <c r="E34" s="49">
        <f>VLOOKUP(B34,INV.FISICO!B:S,18,0)</f>
        <v>928</v>
      </c>
      <c r="F34" s="49" t="str">
        <f>IFERROR(VLOOKUP(B34,MIGO!B:D,3,0),"0,00")</f>
        <v>0,00</v>
      </c>
      <c r="G34" s="31">
        <f t="shared" si="0"/>
        <v>0</v>
      </c>
    </row>
    <row r="35" spans="2:7" ht="15.75" x14ac:dyDescent="0.25">
      <c r="B35" s="28">
        <v>8000842</v>
      </c>
      <c r="C35" s="29" t="s">
        <v>709</v>
      </c>
      <c r="D35" s="49">
        <f>VLOOKUP(B35,'INVENTARIO(MB52)'!C:F,4,0)</f>
        <v>3456</v>
      </c>
      <c r="E35" s="49">
        <f>VLOOKUP(B35,INV.FISICO!B:S,18,0)</f>
        <v>3007</v>
      </c>
      <c r="F35" s="49" t="str">
        <f>IFERROR(VLOOKUP(B35,MIGO!B:D,3,0),"0,00")</f>
        <v>0,00</v>
      </c>
      <c r="G35" s="31">
        <f t="shared" si="0"/>
        <v>449</v>
      </c>
    </row>
    <row r="36" spans="2:7" ht="15.75" x14ac:dyDescent="0.25">
      <c r="B36" s="28">
        <v>8027318</v>
      </c>
      <c r="C36" s="29" t="s">
        <v>965</v>
      </c>
      <c r="D36" s="49">
        <f>VLOOKUP(B36,'INVENTARIO(MB52)'!C:F,4,0)</f>
        <v>1366</v>
      </c>
      <c r="E36" s="49">
        <f>VLOOKUP(B36,INV.FISICO!B:S,18,0)</f>
        <v>1366</v>
      </c>
      <c r="F36" s="49" t="str">
        <f>IFERROR(VLOOKUP(B36,MIGO!B:D,3,0),"0,00")</f>
        <v>0,00</v>
      </c>
      <c r="G36" s="31">
        <f t="shared" si="0"/>
        <v>0</v>
      </c>
    </row>
    <row r="37" spans="2:7" ht="15.75" x14ac:dyDescent="0.25">
      <c r="B37" s="24">
        <v>8041350</v>
      </c>
      <c r="C37" s="25" t="s">
        <v>1095</v>
      </c>
      <c r="D37" s="49">
        <f>VLOOKUP(B37,'INVENTARIO(MB52)'!C:F,4,0)</f>
        <v>768</v>
      </c>
      <c r="E37" s="49">
        <f>VLOOKUP(B37,INV.FISICO!B:S,18,0)</f>
        <v>513</v>
      </c>
      <c r="F37" s="49" t="str">
        <f>IFERROR(VLOOKUP(B37,MIGO!B:D,3,0),"0,00")</f>
        <v>0,00</v>
      </c>
      <c r="G37" s="31">
        <f t="shared" si="0"/>
        <v>255</v>
      </c>
    </row>
    <row r="38" spans="2:7" ht="15.75" x14ac:dyDescent="0.25">
      <c r="B38" s="24">
        <v>8000827</v>
      </c>
      <c r="C38" s="25" t="s">
        <v>1342</v>
      </c>
      <c r="D38" s="49">
        <f>VLOOKUP(B38,'INVENTARIO(MB52)'!C:F,4,0)</f>
        <v>2436.0010000000002</v>
      </c>
      <c r="E38" s="49">
        <f>VLOOKUP(B38,INV.FISICO!B:S,18,0)</f>
        <v>2436</v>
      </c>
      <c r="F38" s="49" t="str">
        <f>IFERROR(VLOOKUP(B38,MIGO!B:D,3,0),"0,00")</f>
        <v>0,00</v>
      </c>
      <c r="G38" s="31">
        <f t="shared" si="0"/>
        <v>1.0000000002037268E-3</v>
      </c>
    </row>
    <row r="39" spans="2:7" ht="15.75" x14ac:dyDescent="0.25">
      <c r="B39" s="24">
        <v>8001054</v>
      </c>
      <c r="C39" s="30" t="s">
        <v>1323</v>
      </c>
      <c r="D39" s="49">
        <f>VLOOKUP(B39,'INVENTARIO(MB52)'!C:F,4,0)</f>
        <v>2028</v>
      </c>
      <c r="E39" s="49">
        <f>VLOOKUP(B39,INV.FISICO!B:S,18,0)</f>
        <v>1218</v>
      </c>
      <c r="F39" s="49" t="str">
        <f>IFERROR(VLOOKUP(B39,MIGO!B:D,3,0),"0,00")</f>
        <v>0,00</v>
      </c>
      <c r="G39" s="31">
        <f t="shared" si="0"/>
        <v>810</v>
      </c>
    </row>
    <row r="40" spans="2:7" ht="15.75" x14ac:dyDescent="0.25">
      <c r="B40" s="24">
        <v>8039553</v>
      </c>
      <c r="C40" s="25" t="s">
        <v>1068</v>
      </c>
      <c r="D40" s="49">
        <f>VLOOKUP(B40,'INVENTARIO(MB52)'!C:F,4,0)</f>
        <v>2464</v>
      </c>
      <c r="E40" s="49">
        <f>VLOOKUP(B40,INV.FISICO!B:S,18,0)</f>
        <v>2458</v>
      </c>
      <c r="F40" s="49" t="str">
        <f>IFERROR(VLOOKUP(B40,MIGO!B:D,3,0),"0,00")</f>
        <v>0,00</v>
      </c>
      <c r="G40" s="31">
        <f t="shared" si="0"/>
        <v>6</v>
      </c>
    </row>
    <row r="41" spans="2:7" ht="15.75" x14ac:dyDescent="0.25">
      <c r="B41" s="11">
        <v>8028081</v>
      </c>
      <c r="C41" s="12" t="s">
        <v>1343</v>
      </c>
      <c r="D41" s="49">
        <f>VLOOKUP(B41,'INVENTARIO(MB52)'!C:F,4,0)</f>
        <v>627</v>
      </c>
      <c r="E41" s="49">
        <f>VLOOKUP(B41,INV.FISICO!B:S,18,0)</f>
        <v>627</v>
      </c>
      <c r="F41" s="49" t="str">
        <f>IFERROR(VLOOKUP(B41,MIGO!B:D,3,0),"0,00")</f>
        <v>0,00</v>
      </c>
      <c r="G41" s="31">
        <f t="shared" si="0"/>
        <v>0</v>
      </c>
    </row>
    <row r="42" spans="2:7" ht="15.75" x14ac:dyDescent="0.25">
      <c r="B42" s="11">
        <v>8028086</v>
      </c>
      <c r="C42" s="12" t="s">
        <v>1344</v>
      </c>
      <c r="D42" s="49">
        <f>VLOOKUP(B42,'INVENTARIO(MB52)'!C:F,4,0)</f>
        <v>849</v>
      </c>
      <c r="E42" s="49">
        <f>VLOOKUP(B42,INV.FISICO!B:S,18,0)</f>
        <v>849</v>
      </c>
      <c r="F42" s="49" t="str">
        <f>IFERROR(VLOOKUP(B42,MIGO!B:D,3,0),"0,00")</f>
        <v>0,00</v>
      </c>
      <c r="G42" s="31">
        <f t="shared" si="0"/>
        <v>0</v>
      </c>
    </row>
    <row r="43" spans="2:7" ht="15.75" x14ac:dyDescent="0.25">
      <c r="B43" s="11">
        <v>8028929</v>
      </c>
      <c r="C43" s="12" t="s">
        <v>1345</v>
      </c>
      <c r="D43" s="49">
        <f>VLOOKUP(B43,'INVENTARIO(MB52)'!C:F,4,0)</f>
        <v>682</v>
      </c>
      <c r="E43" s="49">
        <f>VLOOKUP(B43,INV.FISICO!B:S,18,0)</f>
        <v>682</v>
      </c>
      <c r="F43" s="49" t="str">
        <f>IFERROR(VLOOKUP(B43,MIGO!B:D,3,0),"0,00")</f>
        <v>0,00</v>
      </c>
      <c r="G43" s="31">
        <f t="shared" si="0"/>
        <v>0</v>
      </c>
    </row>
    <row r="44" spans="2:7" ht="15.75" x14ac:dyDescent="0.25">
      <c r="B44" s="11">
        <v>8028085</v>
      </c>
      <c r="C44" s="12" t="s">
        <v>1346</v>
      </c>
      <c r="D44" s="49">
        <f>VLOOKUP(B44,'INVENTARIO(MB52)'!C:F,4,0)</f>
        <v>506</v>
      </c>
      <c r="E44" s="49">
        <f>VLOOKUP(B44,INV.FISICO!B:S,18,0)</f>
        <v>506</v>
      </c>
      <c r="F44" s="49" t="str">
        <f>IFERROR(VLOOKUP(B44,MIGO!B:D,3,0),"0,00")</f>
        <v>0,00</v>
      </c>
      <c r="G44" s="31">
        <f t="shared" si="0"/>
        <v>0</v>
      </c>
    </row>
    <row r="45" spans="2:7" ht="15.75" x14ac:dyDescent="0.25">
      <c r="B45" s="11">
        <v>8028082</v>
      </c>
      <c r="C45" s="12" t="s">
        <v>1347</v>
      </c>
      <c r="D45" s="49">
        <f>VLOOKUP(B45,'INVENTARIO(MB52)'!C:F,4,0)</f>
        <v>1166</v>
      </c>
      <c r="E45" s="49">
        <f>VLOOKUP(B45,INV.FISICO!B:S,18,0)</f>
        <v>1166</v>
      </c>
      <c r="F45" s="49" t="str">
        <f>IFERROR(VLOOKUP(B45,MIGO!B:D,3,0),"0,00")</f>
        <v>0,00</v>
      </c>
      <c r="G45" s="31">
        <f t="shared" si="0"/>
        <v>0</v>
      </c>
    </row>
    <row r="46" spans="2:7" ht="15.75" x14ac:dyDescent="0.25">
      <c r="B46" s="11">
        <v>8028084</v>
      </c>
      <c r="C46" s="12" t="s">
        <v>926</v>
      </c>
      <c r="D46" s="49">
        <f>VLOOKUP(B46,'INVENTARIO(MB52)'!C:F,4,0)</f>
        <v>782</v>
      </c>
      <c r="E46" s="49">
        <f>VLOOKUP(B46,INV.FISICO!B:S,18,0)</f>
        <v>782</v>
      </c>
      <c r="F46" s="49" t="str">
        <f>IFERROR(VLOOKUP(B46,MIGO!B:D,3,0),"0,00")</f>
        <v>0,00</v>
      </c>
      <c r="G46" s="31">
        <f t="shared" si="0"/>
        <v>0</v>
      </c>
    </row>
    <row r="47" spans="2:7" ht="15.75" x14ac:dyDescent="0.25">
      <c r="B47" s="11">
        <v>8029499</v>
      </c>
      <c r="C47" s="12" t="s">
        <v>1348</v>
      </c>
      <c r="D47" s="49">
        <f>VLOOKUP(B47,'INVENTARIO(MB52)'!C:F,4,0)</f>
        <v>1134</v>
      </c>
      <c r="E47" s="49">
        <f>VLOOKUP(B47,INV.FISICO!B:S,18,0)</f>
        <v>1134</v>
      </c>
      <c r="F47" s="49" t="str">
        <f>IFERROR(VLOOKUP(B47,MIGO!B:D,3,0),"0,00")</f>
        <v>0,00</v>
      </c>
      <c r="G47" s="31">
        <f t="shared" si="0"/>
        <v>0</v>
      </c>
    </row>
    <row r="48" spans="2:7" ht="15.75" x14ac:dyDescent="0.25">
      <c r="B48" s="11">
        <v>8028078</v>
      </c>
      <c r="C48" s="12" t="s">
        <v>1349</v>
      </c>
      <c r="D48" s="49">
        <f>VLOOKUP(B48,'INVENTARIO(MB52)'!C:F,4,0)</f>
        <v>1869</v>
      </c>
      <c r="E48" s="49">
        <f>VLOOKUP(B48,INV.FISICO!B:S,18,0)</f>
        <v>751</v>
      </c>
      <c r="F48" s="49" t="str">
        <f>IFERROR(VLOOKUP(B48,MIGO!B:D,3,0),"0,00")</f>
        <v>0,00</v>
      </c>
      <c r="G48" s="31">
        <f t="shared" si="0"/>
        <v>1118</v>
      </c>
    </row>
    <row r="49" spans="2:7" ht="15.75" x14ac:dyDescent="0.25">
      <c r="B49" s="11">
        <v>8028079</v>
      </c>
      <c r="C49" s="12" t="s">
        <v>908</v>
      </c>
      <c r="D49" s="49">
        <f>VLOOKUP(B49,'INVENTARIO(MB52)'!C:F,4,0)</f>
        <v>1376</v>
      </c>
      <c r="E49" s="49">
        <f>VLOOKUP(B49,INV.FISICO!B:S,18,0)</f>
        <v>1376</v>
      </c>
      <c r="F49" s="49" t="str">
        <f>IFERROR(VLOOKUP(B49,MIGO!B:D,3,0),"0,00")</f>
        <v>0,00</v>
      </c>
      <c r="G49" s="31">
        <f t="shared" si="0"/>
        <v>0</v>
      </c>
    </row>
    <row r="50" spans="2:7" ht="15.75" x14ac:dyDescent="0.25">
      <c r="B50" s="11">
        <v>8040549</v>
      </c>
      <c r="C50" s="12" t="s">
        <v>929</v>
      </c>
      <c r="D50" s="49">
        <f>VLOOKUP(B50,'INVENTARIO(MB52)'!C:F,4,0)</f>
        <v>983</v>
      </c>
      <c r="E50" s="49">
        <f>VLOOKUP(B50,INV.FISICO!B:S,18,0)</f>
        <v>769</v>
      </c>
      <c r="F50" s="49" t="str">
        <f>IFERROR(VLOOKUP(B50,MIGO!B:D,3,0),"0,00")</f>
        <v>0,00</v>
      </c>
      <c r="G50" s="31">
        <f t="shared" si="0"/>
        <v>214</v>
      </c>
    </row>
    <row r="51" spans="2:7" ht="15.75" x14ac:dyDescent="0.25">
      <c r="B51" s="11">
        <v>8028088</v>
      </c>
      <c r="C51" s="12" t="s">
        <v>930</v>
      </c>
      <c r="D51" s="49">
        <f>VLOOKUP(B51,'INVENTARIO(MB52)'!C:F,4,0)</f>
        <v>1033</v>
      </c>
      <c r="E51" s="49">
        <f>VLOOKUP(B51,INV.FISICO!B:S,18,0)</f>
        <v>1033</v>
      </c>
      <c r="F51" s="49" t="str">
        <f>IFERROR(VLOOKUP(B51,MIGO!B:D,3,0),"0,00")</f>
        <v>0,00</v>
      </c>
      <c r="G51" s="31">
        <f t="shared" si="0"/>
        <v>0</v>
      </c>
    </row>
    <row r="52" spans="2:7" ht="15.75" x14ac:dyDescent="0.25">
      <c r="B52" s="11">
        <v>8039830</v>
      </c>
      <c r="C52" s="12" t="s">
        <v>1076</v>
      </c>
      <c r="D52" s="49">
        <f>VLOOKUP(B52,'INVENTARIO(MB52)'!C:F,4,0)</f>
        <v>1529</v>
      </c>
      <c r="E52" s="49">
        <f>VLOOKUP(B52,INV.FISICO!B:S,18,0)</f>
        <v>1159</v>
      </c>
      <c r="F52" s="49" t="str">
        <f>IFERROR(VLOOKUP(B52,MIGO!B:D,3,0),"0,00")</f>
        <v>0,00</v>
      </c>
      <c r="G52" s="31">
        <f t="shared" si="0"/>
        <v>370</v>
      </c>
    </row>
    <row r="53" spans="2:7" ht="15.75" x14ac:dyDescent="0.25">
      <c r="B53" s="11">
        <v>8039828</v>
      </c>
      <c r="C53" s="12" t="s">
        <v>1075</v>
      </c>
      <c r="D53" s="49">
        <f>VLOOKUP(B53,'INVENTARIO(MB52)'!C:F,4,0)</f>
        <v>2485</v>
      </c>
      <c r="E53" s="49">
        <f>VLOOKUP(B53,INV.FISICO!B:S,18,0)</f>
        <v>2485</v>
      </c>
      <c r="F53" s="49" t="str">
        <f>IFERROR(VLOOKUP(B53,MIGO!B:D,3,0),"0,00")</f>
        <v>0,00</v>
      </c>
      <c r="G53" s="31">
        <f t="shared" si="0"/>
        <v>0</v>
      </c>
    </row>
    <row r="54" spans="2:7" ht="15.75" x14ac:dyDescent="0.25">
      <c r="B54" s="13">
        <v>8034705</v>
      </c>
      <c r="C54" s="14" t="s">
        <v>1046</v>
      </c>
      <c r="D54" s="49">
        <f>VLOOKUP(B54,'INVENTARIO(MB52)'!C:F,4,0)</f>
        <v>445</v>
      </c>
      <c r="E54" s="49">
        <f>VLOOKUP(B54,INV.FISICO!B:S,18,0)</f>
        <v>445</v>
      </c>
      <c r="F54" s="49" t="str">
        <f>IFERROR(VLOOKUP(B54,MIGO!B:D,3,0),"0,00")</f>
        <v>0,00</v>
      </c>
      <c r="G54" s="31">
        <f t="shared" si="0"/>
        <v>0</v>
      </c>
    </row>
    <row r="55" spans="2:7" ht="15.75" x14ac:dyDescent="0.25">
      <c r="B55" s="13">
        <v>8044207</v>
      </c>
      <c r="C55" s="14" t="s">
        <v>1115</v>
      </c>
      <c r="D55" s="49">
        <f>VLOOKUP(B55,'INVENTARIO(MB52)'!C:F,4,0)</f>
        <v>221</v>
      </c>
      <c r="E55" s="49">
        <f>VLOOKUP(B55,INV.FISICO!B:S,18,0)</f>
        <v>221</v>
      </c>
      <c r="F55" s="49" t="str">
        <f>IFERROR(VLOOKUP(B55,MIGO!B:D,3,0),"0,00")</f>
        <v>0,00</v>
      </c>
      <c r="G55" s="31">
        <f t="shared" si="0"/>
        <v>0</v>
      </c>
    </row>
    <row r="56" spans="2:7" ht="15.75" x14ac:dyDescent="0.25">
      <c r="B56" s="13">
        <v>8034703</v>
      </c>
      <c r="C56" s="14" t="s">
        <v>1044</v>
      </c>
      <c r="D56" s="49">
        <f>VLOOKUP(B56,'INVENTARIO(MB52)'!C:F,4,0)</f>
        <v>382</v>
      </c>
      <c r="E56" s="49">
        <f>VLOOKUP(B56,INV.FISICO!B:S,18,0)</f>
        <v>382</v>
      </c>
      <c r="F56" s="49" t="str">
        <f>IFERROR(VLOOKUP(B56,MIGO!B:D,3,0),"0,00")</f>
        <v>0,00</v>
      </c>
      <c r="G56" s="31">
        <f t="shared" si="0"/>
        <v>0</v>
      </c>
    </row>
    <row r="57" spans="2:7" ht="15.75" x14ac:dyDescent="0.25">
      <c r="B57" s="15">
        <v>8040738</v>
      </c>
      <c r="C57" s="16" t="s">
        <v>1091</v>
      </c>
      <c r="D57" s="49">
        <f>VLOOKUP(B57,'INVENTARIO(MB52)'!C:F,4,0)</f>
        <v>1468</v>
      </c>
      <c r="E57" s="49">
        <f>VLOOKUP(B57,INV.FISICO!B:S,18,0)</f>
        <v>1468</v>
      </c>
      <c r="F57" s="49" t="str">
        <f>IFERROR(VLOOKUP(B57,MIGO!B:D,3,0),"0,00")</f>
        <v>0,00</v>
      </c>
      <c r="G57" s="31">
        <f t="shared" si="0"/>
        <v>0</v>
      </c>
    </row>
    <row r="58" spans="2:7" ht="15.75" x14ac:dyDescent="0.25">
      <c r="B58" s="15">
        <v>8040737</v>
      </c>
      <c r="C58" s="16" t="s">
        <v>1090</v>
      </c>
      <c r="D58" s="49">
        <f>VLOOKUP(B58,'INVENTARIO(MB52)'!C:F,4,0)</f>
        <v>757</v>
      </c>
      <c r="E58" s="49">
        <f>VLOOKUP(B58,INV.FISICO!B:S,18,0)</f>
        <v>757</v>
      </c>
      <c r="F58" s="49" t="str">
        <f>IFERROR(VLOOKUP(B58,MIGO!B:D,3,0),"0,00")</f>
        <v>0,00</v>
      </c>
      <c r="G58" s="31">
        <f t="shared" si="0"/>
        <v>0</v>
      </c>
    </row>
    <row r="59" spans="2:7" ht="15.75" x14ac:dyDescent="0.25">
      <c r="B59" s="17">
        <v>8030944</v>
      </c>
      <c r="C59" s="18" t="s">
        <v>1007</v>
      </c>
      <c r="D59" s="49">
        <f>VLOOKUP(B59,'INVENTARIO(MB52)'!C:F,4,0)</f>
        <v>1081</v>
      </c>
      <c r="E59" s="49">
        <f>VLOOKUP(B59,INV.FISICO!B:S,18,0)</f>
        <v>1081</v>
      </c>
      <c r="F59" s="49" t="str">
        <f>IFERROR(VLOOKUP(B59,MIGO!B:D,3,0),"0,00")</f>
        <v>0,00</v>
      </c>
      <c r="G59" s="31">
        <f t="shared" si="0"/>
        <v>0</v>
      </c>
    </row>
    <row r="60" spans="2:7" ht="15.75" x14ac:dyDescent="0.25">
      <c r="B60" s="17">
        <v>8042003</v>
      </c>
      <c r="C60" s="18" t="s">
        <v>1350</v>
      </c>
      <c r="D60" s="49">
        <f>VLOOKUP(B60,'INVENTARIO(MB52)'!C:F,4,0)</f>
        <v>2441</v>
      </c>
      <c r="E60" s="49">
        <f>VLOOKUP(B60,INV.FISICO!B:S,18,0)</f>
        <v>2441</v>
      </c>
      <c r="F60" s="49" t="str">
        <f>IFERROR(VLOOKUP(B60,MIGO!B:D,3,0),"0,00")</f>
        <v>0,00</v>
      </c>
      <c r="G60" s="31">
        <f t="shared" si="0"/>
        <v>0</v>
      </c>
    </row>
    <row r="61" spans="2:7" ht="15.75" x14ac:dyDescent="0.25">
      <c r="B61" s="32">
        <v>8048296</v>
      </c>
      <c r="C61" s="33" t="s">
        <v>1324</v>
      </c>
      <c r="D61" s="49">
        <f>VLOOKUP(B61,'INVENTARIO(MB52)'!C:F,4,0)</f>
        <v>743</v>
      </c>
      <c r="E61" s="49">
        <f>VLOOKUP(B61,INV.FISICO!B:S,18,0)</f>
        <v>743</v>
      </c>
      <c r="F61" s="49" t="str">
        <f>IFERROR(VLOOKUP(B61,MIGO!B:D,3,0),"0,00")</f>
        <v>0,00</v>
      </c>
      <c r="G61" s="31">
        <f t="shared" si="0"/>
        <v>0</v>
      </c>
    </row>
    <row r="62" spans="2:7" ht="15.75" x14ac:dyDescent="0.25">
      <c r="B62" s="32">
        <v>8036083</v>
      </c>
      <c r="C62" s="33" t="s">
        <v>1051</v>
      </c>
      <c r="D62" s="49">
        <f>VLOOKUP(B62,'INVENTARIO(MB52)'!C:F,4,0)</f>
        <v>1006</v>
      </c>
      <c r="E62" s="49">
        <f>VLOOKUP(B62,INV.FISICO!B:S,18,0)</f>
        <v>767</v>
      </c>
      <c r="F62" s="49" t="str">
        <f>IFERROR(VLOOKUP(B62,MIGO!B:D,3,0),"0,00")</f>
        <v>0,00</v>
      </c>
      <c r="G62" s="31">
        <f t="shared" si="0"/>
        <v>239</v>
      </c>
    </row>
    <row r="63" spans="2:7" ht="15.75" x14ac:dyDescent="0.25">
      <c r="B63" s="32">
        <v>8031295</v>
      </c>
      <c r="C63" s="33" t="s">
        <v>1018</v>
      </c>
      <c r="D63" s="49">
        <f>VLOOKUP(B63,'INVENTARIO(MB52)'!C:F,4,0)</f>
        <v>306</v>
      </c>
      <c r="E63" s="49">
        <f>VLOOKUP(B63,INV.FISICO!B:S,18,0)</f>
        <v>306</v>
      </c>
      <c r="F63" s="49" t="str">
        <f>IFERROR(VLOOKUP(B63,MIGO!B:D,3,0),"0,00")</f>
        <v>0,00</v>
      </c>
      <c r="G63" s="31">
        <f t="shared" si="0"/>
        <v>0</v>
      </c>
    </row>
    <row r="64" spans="2:7" ht="15.75" x14ac:dyDescent="0.25">
      <c r="B64" s="32">
        <v>8046823</v>
      </c>
      <c r="C64" s="33" t="s">
        <v>1325</v>
      </c>
      <c r="D64" s="49">
        <f>VLOOKUP(B64,'INVENTARIO(MB52)'!C:F,4,0)</f>
        <v>1005</v>
      </c>
      <c r="E64" s="49">
        <f>VLOOKUP(B64,INV.FISICO!B:S,18,0)</f>
        <v>1005</v>
      </c>
      <c r="F64" s="49" t="str">
        <f>IFERROR(VLOOKUP(B64,MIGO!B:D,3,0),"0,00")</f>
        <v>0,00</v>
      </c>
      <c r="G64" s="31">
        <f t="shared" si="0"/>
        <v>0</v>
      </c>
    </row>
    <row r="65" spans="2:12" ht="15.75" x14ac:dyDescent="0.25">
      <c r="B65" s="32">
        <v>8048298</v>
      </c>
      <c r="C65" s="33" t="s">
        <v>1186</v>
      </c>
      <c r="D65" s="49">
        <f>VLOOKUP(B65,'INVENTARIO(MB52)'!C:F,4,0)</f>
        <v>735</v>
      </c>
      <c r="E65" s="49">
        <f>VLOOKUP(B65,INV.FISICO!B:S,18,0)</f>
        <v>735</v>
      </c>
      <c r="F65" s="49" t="str">
        <f>IFERROR(VLOOKUP(B65,MIGO!B:D,3,0),"0,00")</f>
        <v>0,00</v>
      </c>
      <c r="G65" s="31">
        <f t="shared" si="0"/>
        <v>0</v>
      </c>
    </row>
    <row r="66" spans="2:12" ht="15.75" x14ac:dyDescent="0.25">
      <c r="B66" s="32">
        <v>8048302</v>
      </c>
      <c r="C66" s="33" t="s">
        <v>1187</v>
      </c>
      <c r="D66" s="49">
        <f>VLOOKUP(B66,'INVENTARIO(MB52)'!C:F,4,0)</f>
        <v>1079</v>
      </c>
      <c r="E66" s="49">
        <f>VLOOKUP(B66,INV.FISICO!B:S,18,0)</f>
        <v>1079</v>
      </c>
      <c r="F66" s="49" t="str">
        <f>IFERROR(VLOOKUP(B66,MIGO!B:D,3,0),"0,00")</f>
        <v>0,00</v>
      </c>
      <c r="G66" s="31">
        <f t="shared" si="0"/>
        <v>0</v>
      </c>
    </row>
    <row r="67" spans="2:12" ht="15.75" x14ac:dyDescent="0.25">
      <c r="B67" s="32">
        <v>8038717</v>
      </c>
      <c r="C67" s="33" t="s">
        <v>1063</v>
      </c>
      <c r="D67" s="49">
        <f>VLOOKUP(B67,'INVENTARIO(MB52)'!C:F,4,0)</f>
        <v>333</v>
      </c>
      <c r="E67" s="49">
        <f>VLOOKUP(B67,INV.FISICO!B:S,18,0)</f>
        <v>333</v>
      </c>
      <c r="F67" s="49" t="str">
        <f>IFERROR(VLOOKUP(B67,MIGO!B:D,3,0),"0,00")</f>
        <v>0,00</v>
      </c>
      <c r="G67" s="31">
        <f t="shared" si="0"/>
        <v>0</v>
      </c>
    </row>
    <row r="68" spans="2:12" ht="15.75" hidden="1" customHeight="1" x14ac:dyDescent="0.25">
      <c r="B68" s="15">
        <v>8000841</v>
      </c>
      <c r="C68" s="67" t="str">
        <f>VLOOKUP(B68,'[1]Inv. peliculas'!B$1:C$65536,2,0)</f>
        <v>Pel inferior sudpack x 432 x 50</v>
      </c>
      <c r="D68" s="49">
        <f>VLOOKUP(B68,'INVENTARIO(MB52)'!C:F,4,0)</f>
        <v>363</v>
      </c>
      <c r="E68" s="49">
        <f>VLOOKUP(B68,INV.FISICO!B:S,18,0)</f>
        <v>0</v>
      </c>
      <c r="F68" s="49" t="str">
        <f>IFERROR(VLOOKUP(B68,MIGO!B:D,3,0),"0,00")</f>
        <v>0,00</v>
      </c>
      <c r="G68" s="31">
        <f t="shared" si="0"/>
        <v>363</v>
      </c>
    </row>
    <row r="69" spans="2:12" ht="15.75" hidden="1" x14ac:dyDescent="0.25">
      <c r="B69" s="4">
        <v>8038476</v>
      </c>
      <c r="C69" s="19" t="s">
        <v>1061</v>
      </c>
      <c r="D69" s="49">
        <f>VLOOKUP(B69,'INVENTARIO(MB52)'!C:F,4,0)</f>
        <v>0</v>
      </c>
      <c r="E69" s="49">
        <f>VLOOKUP(B69,INV.FISICO!B:S,18,0)</f>
        <v>0</v>
      </c>
      <c r="F69" s="49" t="str">
        <f>IFERROR(VLOOKUP(B69,MIGO!B:D,3,0),"0,00")</f>
        <v>0,00</v>
      </c>
      <c r="G69" s="31">
        <f t="shared" si="0"/>
        <v>0</v>
      </c>
    </row>
    <row r="71" spans="2:12" ht="15.75" thickBot="1" x14ac:dyDescent="0.3"/>
    <row r="72" spans="2:12" x14ac:dyDescent="0.25">
      <c r="B72" s="34" t="s">
        <v>1359</v>
      </c>
      <c r="C72" s="35" t="s">
        <v>1351</v>
      </c>
      <c r="D72" s="45" t="s">
        <v>1352</v>
      </c>
      <c r="E72" s="45" t="s">
        <v>1320</v>
      </c>
      <c r="F72" s="140" t="s">
        <v>1321</v>
      </c>
      <c r="G72" s="45" t="s">
        <v>1322</v>
      </c>
      <c r="H72" s="36" t="s">
        <v>1353</v>
      </c>
      <c r="I72" s="46" t="s">
        <v>1354</v>
      </c>
      <c r="J72" s="50" t="s">
        <v>1360</v>
      </c>
      <c r="K72" s="47" t="s">
        <v>1355</v>
      </c>
      <c r="L72" s="46" t="s">
        <v>1356</v>
      </c>
    </row>
    <row r="73" spans="2:12" x14ac:dyDescent="0.25">
      <c r="B73" s="37">
        <v>8030417</v>
      </c>
      <c r="C73" s="38" t="s">
        <v>1001</v>
      </c>
      <c r="D73" s="51">
        <f>VLOOKUP(B73,'INVENTARIO(MB52)'!C:F,4,0)</f>
        <v>689</v>
      </c>
      <c r="E73" s="51">
        <f>IFERROR(I73+(K73*L73),"0")</f>
        <v>674.69879518072287</v>
      </c>
      <c r="F73" s="51" t="str">
        <f>IFERROR(VLOOKUP(B73,MIGO!B:D,3,0),"0,00")</f>
        <v>0,00</v>
      </c>
      <c r="G73" s="39">
        <f>ROUND(D73-E73-F73,0)</f>
        <v>14</v>
      </c>
      <c r="H73" s="54">
        <v>1.4</v>
      </c>
      <c r="I73" s="52">
        <f>J73</f>
        <v>674.69879518072287</v>
      </c>
      <c r="J73" s="53">
        <f>2000*H73/4.15</f>
        <v>674.69879518072287</v>
      </c>
      <c r="K73" s="40"/>
      <c r="L73" s="41">
        <v>2000</v>
      </c>
    </row>
    <row r="74" spans="2:12" x14ac:dyDescent="0.25">
      <c r="B74" s="37">
        <v>8032993</v>
      </c>
      <c r="C74" s="38" t="s">
        <v>1032</v>
      </c>
      <c r="D74" s="51">
        <f>VLOOKUP(B74,'INVENTARIO(MB52)'!C:F,4,0)</f>
        <v>403</v>
      </c>
      <c r="E74" s="51">
        <f t="shared" ref="E74:E83" si="1">IFERROR(I74+(K74*L74),"0")</f>
        <v>403.46534653465346</v>
      </c>
      <c r="F74" s="51" t="str">
        <f>IFERROR(VLOOKUP(B74,MIGO!B:D,3,0),"0,00")</f>
        <v>0,00</v>
      </c>
      <c r="G74" s="39">
        <f t="shared" ref="G74:G83" si="2">ROUND(D74-E74-F74,0)</f>
        <v>0</v>
      </c>
      <c r="H74" s="54">
        <v>0.81499999999999995</v>
      </c>
      <c r="I74" s="52">
        <f t="shared" ref="I74:I83" si="3">J74</f>
        <v>403.46534653465346</v>
      </c>
      <c r="J74" s="53">
        <f>2000*H74/4.04</f>
        <v>403.46534653465346</v>
      </c>
      <c r="K74" s="40"/>
      <c r="L74" s="41">
        <v>2000</v>
      </c>
    </row>
    <row r="75" spans="2:12" x14ac:dyDescent="0.25">
      <c r="B75" s="37">
        <v>8042767</v>
      </c>
      <c r="C75" s="38" t="s">
        <v>1357</v>
      </c>
      <c r="D75" s="51">
        <f>VLOOKUP(B75,'INVENTARIO(MB52)'!C:F,4,0)</f>
        <v>1199</v>
      </c>
      <c r="E75" s="51">
        <f t="shared" si="1"/>
        <v>1198.6970684039086</v>
      </c>
      <c r="F75" s="51" t="str">
        <f>IFERROR(VLOOKUP(B75,MIGO!B:D,3,0),"0,00")</f>
        <v>0,00</v>
      </c>
      <c r="G75" s="39">
        <f t="shared" si="2"/>
        <v>0</v>
      </c>
      <c r="H75" s="54">
        <v>2.76</v>
      </c>
      <c r="I75" s="52">
        <f t="shared" si="3"/>
        <v>1198.6970684039086</v>
      </c>
      <c r="J75" s="53">
        <f>2000*H75/4.605</f>
        <v>1198.6970684039086</v>
      </c>
      <c r="K75" s="40"/>
      <c r="L75" s="41">
        <v>2000</v>
      </c>
    </row>
    <row r="76" spans="2:12" x14ac:dyDescent="0.25">
      <c r="B76" s="37">
        <v>8040552</v>
      </c>
      <c r="C76" s="38" t="s">
        <v>1086</v>
      </c>
      <c r="D76" s="51">
        <f>VLOOKUP(B76,'INVENTARIO(MB52)'!C:F,4,0)</f>
        <v>0</v>
      </c>
      <c r="E76" s="51">
        <f t="shared" si="1"/>
        <v>0</v>
      </c>
      <c r="F76" s="51" t="str">
        <f>IFERROR(VLOOKUP(B76,MIGO!B:D,3,0),"0,00")</f>
        <v>0,00</v>
      </c>
      <c r="G76" s="39">
        <f t="shared" si="2"/>
        <v>0</v>
      </c>
      <c r="H76" s="54">
        <v>0</v>
      </c>
      <c r="I76" s="52">
        <f t="shared" si="3"/>
        <v>0</v>
      </c>
      <c r="J76" s="53">
        <f>2000*H76/0.62</f>
        <v>0</v>
      </c>
      <c r="K76" s="40"/>
      <c r="L76" s="41">
        <v>2000</v>
      </c>
    </row>
    <row r="77" spans="2:12" x14ac:dyDescent="0.25">
      <c r="B77" s="37">
        <v>8032595</v>
      </c>
      <c r="C77" s="38" t="s">
        <v>1025</v>
      </c>
      <c r="D77" s="51">
        <f>VLOOKUP(B77,'INVENTARIO(MB52)'!C:F,4,0)</f>
        <v>2414</v>
      </c>
      <c r="E77" s="51">
        <f t="shared" si="1"/>
        <v>2413.7931034482758</v>
      </c>
      <c r="F77" s="51" t="str">
        <f>IFERROR(VLOOKUP(B77,MIGO!B:D,3,0),"0,00")</f>
        <v>0,00</v>
      </c>
      <c r="G77" s="39">
        <f t="shared" si="2"/>
        <v>0</v>
      </c>
      <c r="H77" s="54">
        <v>0.54</v>
      </c>
      <c r="I77" s="52">
        <f t="shared" si="3"/>
        <v>413.79310344827587</v>
      </c>
      <c r="J77" s="53">
        <f>1000*H77/1.305</f>
        <v>413.79310344827587</v>
      </c>
      <c r="K77" s="40">
        <v>2</v>
      </c>
      <c r="L77" s="41">
        <v>1000</v>
      </c>
    </row>
    <row r="78" spans="2:12" x14ac:dyDescent="0.25">
      <c r="B78" s="37">
        <v>8030428</v>
      </c>
      <c r="C78" s="38" t="s">
        <v>1004</v>
      </c>
      <c r="D78" s="51">
        <f>VLOOKUP(B78,'INVENTARIO(MB52)'!C:F,4,0)</f>
        <v>4669</v>
      </c>
      <c r="E78" s="51">
        <f t="shared" si="1"/>
        <v>4668.9536878216122</v>
      </c>
      <c r="F78" s="51" t="str">
        <f>IFERROR(VLOOKUP(B78,MIGO!B:D,3,0),"0,00")</f>
        <v>0,00</v>
      </c>
      <c r="G78" s="39">
        <f t="shared" si="2"/>
        <v>0</v>
      </c>
      <c r="H78" s="54">
        <v>0.97499999999999998</v>
      </c>
      <c r="I78" s="52">
        <f t="shared" si="3"/>
        <v>668.95368782161233</v>
      </c>
      <c r="J78" s="53">
        <f>2000*H78/2.915</f>
        <v>668.95368782161233</v>
      </c>
      <c r="K78" s="40">
        <v>2</v>
      </c>
      <c r="L78" s="41">
        <v>2000</v>
      </c>
    </row>
    <row r="79" spans="2:12" x14ac:dyDescent="0.25">
      <c r="B79" s="37">
        <v>8042711</v>
      </c>
      <c r="C79" s="38" t="s">
        <v>1358</v>
      </c>
      <c r="D79" s="51">
        <f>VLOOKUP(B79,'INVENTARIO(MB52)'!C:F,4,0)</f>
        <v>285</v>
      </c>
      <c r="E79" s="51">
        <f t="shared" si="1"/>
        <v>285.05747126436785</v>
      </c>
      <c r="F79" s="51" t="str">
        <f>IFERROR(VLOOKUP(B79,MIGO!B:D,3,0),"0,00")</f>
        <v>0,00</v>
      </c>
      <c r="G79" s="39">
        <f t="shared" si="2"/>
        <v>0</v>
      </c>
      <c r="H79" s="54">
        <v>0.62</v>
      </c>
      <c r="I79" s="52">
        <f t="shared" si="3"/>
        <v>285.05747126436785</v>
      </c>
      <c r="J79" s="53">
        <f>2000*H79/4.35</f>
        <v>285.05747126436785</v>
      </c>
      <c r="K79" s="40"/>
      <c r="L79" s="41">
        <v>2000</v>
      </c>
    </row>
    <row r="80" spans="2:12" x14ac:dyDescent="0.25">
      <c r="B80" s="37">
        <v>8047694</v>
      </c>
      <c r="C80" s="38" t="s">
        <v>1181</v>
      </c>
      <c r="D80" s="51">
        <f>VLOOKUP(B80,'INVENTARIO(MB52)'!C:F,4,0)</f>
        <v>2561</v>
      </c>
      <c r="E80" s="51">
        <f t="shared" si="1"/>
        <v>964.23462088698136</v>
      </c>
      <c r="F80" s="51" t="str">
        <f>IFERROR(VLOOKUP(B80,MIGO!B:D,3,0),"0,00")</f>
        <v>0,00</v>
      </c>
      <c r="G80" s="39">
        <f t="shared" si="2"/>
        <v>1597</v>
      </c>
      <c r="H80" s="54">
        <v>1.6850000000000001</v>
      </c>
      <c r="I80" s="52">
        <f t="shared" si="3"/>
        <v>964.23462088698136</v>
      </c>
      <c r="J80" s="53">
        <f>2000*H80/3.495</f>
        <v>964.23462088698136</v>
      </c>
      <c r="K80" s="40"/>
      <c r="L80" s="41">
        <v>2000</v>
      </c>
    </row>
    <row r="81" spans="2:12" x14ac:dyDescent="0.25">
      <c r="B81" s="37">
        <v>8047695</v>
      </c>
      <c r="C81" s="38" t="s">
        <v>1182</v>
      </c>
      <c r="D81" s="51">
        <f>VLOOKUP(B81,'INVENTARIO(MB52)'!C:F,4,0)</f>
        <v>2446</v>
      </c>
      <c r="E81" s="51">
        <f t="shared" si="1"/>
        <v>2445.9459459459458</v>
      </c>
      <c r="F81" s="51" t="str">
        <f>IFERROR(VLOOKUP(B81,MIGO!B:D,3,0),"0,00")</f>
        <v>0,00</v>
      </c>
      <c r="G81" s="39">
        <f t="shared" si="2"/>
        <v>0</v>
      </c>
      <c r="H81" s="54">
        <v>0.82499999999999996</v>
      </c>
      <c r="I81" s="52">
        <f t="shared" si="3"/>
        <v>445.94594594594594</v>
      </c>
      <c r="J81" s="53">
        <f>2000*H81/3.7</f>
        <v>445.94594594594594</v>
      </c>
      <c r="K81" s="40">
        <v>1</v>
      </c>
      <c r="L81" s="41">
        <v>2000</v>
      </c>
    </row>
    <row r="82" spans="2:12" x14ac:dyDescent="0.25">
      <c r="B82" s="37">
        <v>8044820</v>
      </c>
      <c r="C82" s="38" t="s">
        <v>1120</v>
      </c>
      <c r="D82" s="51">
        <f>VLOOKUP(B82,'INVENTARIO(MB52)'!C:F,4,0)</f>
        <v>3000</v>
      </c>
      <c r="E82" s="51">
        <f t="shared" si="1"/>
        <v>3000</v>
      </c>
      <c r="F82" s="51" t="str">
        <f>IFERROR(VLOOKUP(B82,MIGO!B:D,3,0),"0,00")</f>
        <v>0,00</v>
      </c>
      <c r="G82" s="39">
        <f t="shared" si="2"/>
        <v>0</v>
      </c>
      <c r="H82" s="54"/>
      <c r="I82" s="52">
        <f t="shared" si="3"/>
        <v>0</v>
      </c>
      <c r="J82" s="53">
        <f>3000*H82/1.535</f>
        <v>0</v>
      </c>
      <c r="K82" s="40">
        <v>1</v>
      </c>
      <c r="L82" s="41">
        <v>3000</v>
      </c>
    </row>
    <row r="83" spans="2:12" x14ac:dyDescent="0.25">
      <c r="B83" s="37">
        <v>8043534</v>
      </c>
      <c r="C83" s="38" t="s">
        <v>1106</v>
      </c>
      <c r="D83" s="51">
        <f>VLOOKUP(B83,'INVENTARIO(MB52)'!C:F,4,0)</f>
        <v>363</v>
      </c>
      <c r="E83" s="51">
        <f t="shared" si="1"/>
        <v>363.30935251798564</v>
      </c>
      <c r="F83" s="51" t="str">
        <f>IFERROR(VLOOKUP(B83,MIGO!B:D,3,0),"0,00")</f>
        <v>0,00</v>
      </c>
      <c r="G83" s="39">
        <f t="shared" si="2"/>
        <v>0</v>
      </c>
      <c r="H83" s="54">
        <v>0.505</v>
      </c>
      <c r="I83" s="52">
        <f t="shared" si="3"/>
        <v>363.30935251798564</v>
      </c>
      <c r="J83" s="53">
        <f>2000*H83/2.78</f>
        <v>363.30935251798564</v>
      </c>
      <c r="K83" s="40"/>
      <c r="L83" s="41">
        <v>2000</v>
      </c>
    </row>
  </sheetData>
  <conditionalFormatting sqref="G5:G69">
    <cfRule type="cellIs" dxfId="46" priority="53" stopIfTrue="1" operator="lessThanOrEqual">
      <formula>-1</formula>
    </cfRule>
    <cfRule type="cellIs" dxfId="45" priority="54" stopIfTrue="1" operator="greaterThanOrEqual">
      <formula>1</formula>
    </cfRule>
  </conditionalFormatting>
  <conditionalFormatting sqref="B18">
    <cfRule type="duplicateValues" dxfId="44" priority="45" stopIfTrue="1"/>
  </conditionalFormatting>
  <conditionalFormatting sqref="B20">
    <cfRule type="duplicateValues" dxfId="43" priority="42" stopIfTrue="1"/>
  </conditionalFormatting>
  <conditionalFormatting sqref="B21">
    <cfRule type="duplicateValues" dxfId="42" priority="39" stopIfTrue="1"/>
  </conditionalFormatting>
  <conditionalFormatting sqref="B22:B24">
    <cfRule type="duplicateValues" dxfId="41" priority="38" stopIfTrue="1"/>
  </conditionalFormatting>
  <conditionalFormatting sqref="B25:B28 B30">
    <cfRule type="duplicateValues" dxfId="40" priority="37" stopIfTrue="1"/>
  </conditionalFormatting>
  <conditionalFormatting sqref="B31:B41">
    <cfRule type="duplicateValues" dxfId="39" priority="36" stopIfTrue="1"/>
  </conditionalFormatting>
  <conditionalFormatting sqref="B42:B43">
    <cfRule type="duplicateValues" dxfId="38" priority="35" stopIfTrue="1"/>
  </conditionalFormatting>
  <conditionalFormatting sqref="B44">
    <cfRule type="duplicateValues" dxfId="37" priority="34" stopIfTrue="1"/>
  </conditionalFormatting>
  <conditionalFormatting sqref="B45">
    <cfRule type="duplicateValues" dxfId="36" priority="33" stopIfTrue="1"/>
  </conditionalFormatting>
  <conditionalFormatting sqref="B46">
    <cfRule type="duplicateValues" dxfId="35" priority="32" stopIfTrue="1"/>
  </conditionalFormatting>
  <conditionalFormatting sqref="B47">
    <cfRule type="duplicateValues" dxfId="34" priority="31" stopIfTrue="1"/>
  </conditionalFormatting>
  <conditionalFormatting sqref="B48:B52">
    <cfRule type="duplicateValues" dxfId="33" priority="30" stopIfTrue="1"/>
  </conditionalFormatting>
  <conditionalFormatting sqref="B53">
    <cfRule type="duplicateValues" dxfId="32" priority="29" stopIfTrue="1"/>
  </conditionalFormatting>
  <conditionalFormatting sqref="B54">
    <cfRule type="duplicateValues" dxfId="31" priority="28" stopIfTrue="1"/>
  </conditionalFormatting>
  <conditionalFormatting sqref="B55">
    <cfRule type="duplicateValues" dxfId="30" priority="27" stopIfTrue="1"/>
  </conditionalFormatting>
  <conditionalFormatting sqref="B56">
    <cfRule type="duplicateValues" dxfId="29" priority="26" stopIfTrue="1"/>
  </conditionalFormatting>
  <conditionalFormatting sqref="B57">
    <cfRule type="duplicateValues" dxfId="28" priority="25" stopIfTrue="1"/>
  </conditionalFormatting>
  <conditionalFormatting sqref="B58">
    <cfRule type="duplicateValues" dxfId="27" priority="24" stopIfTrue="1"/>
  </conditionalFormatting>
  <conditionalFormatting sqref="B59">
    <cfRule type="duplicateValues" dxfId="26" priority="23" stopIfTrue="1"/>
  </conditionalFormatting>
  <conditionalFormatting sqref="B60">
    <cfRule type="duplicateValues" dxfId="25" priority="22" stopIfTrue="1"/>
  </conditionalFormatting>
  <conditionalFormatting sqref="B61">
    <cfRule type="duplicateValues" dxfId="24" priority="21" stopIfTrue="1"/>
  </conditionalFormatting>
  <conditionalFormatting sqref="B62:B66">
    <cfRule type="duplicateValues" dxfId="23" priority="18" stopIfTrue="1"/>
  </conditionalFormatting>
  <conditionalFormatting sqref="B67">
    <cfRule type="duplicateValues" dxfId="22" priority="17" stopIfTrue="1"/>
  </conditionalFormatting>
  <conditionalFormatting sqref="B69">
    <cfRule type="duplicateValues" dxfId="21" priority="16" stopIfTrue="1"/>
  </conditionalFormatting>
  <conditionalFormatting sqref="B5:B7">
    <cfRule type="duplicateValues" dxfId="20" priority="15" stopIfTrue="1"/>
  </conditionalFormatting>
  <conditionalFormatting sqref="B9">
    <cfRule type="duplicateValues" dxfId="19" priority="14" stopIfTrue="1"/>
  </conditionalFormatting>
  <conditionalFormatting sqref="B11:B12">
    <cfRule type="duplicateValues" dxfId="18" priority="13" stopIfTrue="1"/>
  </conditionalFormatting>
  <conditionalFormatting sqref="B10">
    <cfRule type="duplicateValues" dxfId="17" priority="12" stopIfTrue="1"/>
  </conditionalFormatting>
  <conditionalFormatting sqref="B13">
    <cfRule type="duplicateValues" dxfId="16" priority="11" stopIfTrue="1"/>
  </conditionalFormatting>
  <conditionalFormatting sqref="B15:B17">
    <cfRule type="duplicateValues" dxfId="15" priority="10" stopIfTrue="1"/>
  </conditionalFormatting>
  <conditionalFormatting sqref="B14">
    <cfRule type="duplicateValues" dxfId="14" priority="9" stopIfTrue="1"/>
  </conditionalFormatting>
  <conditionalFormatting sqref="G73:G83">
    <cfRule type="cellIs" dxfId="13" priority="7" stopIfTrue="1" operator="lessThanOrEqual">
      <formula>-1</formula>
    </cfRule>
    <cfRule type="cellIs" dxfId="12" priority="8" stopIfTrue="1" operator="greaterThanOrEqual">
      <formula>1</formula>
    </cfRule>
  </conditionalFormatting>
  <conditionalFormatting sqref="B19">
    <cfRule type="duplicateValues" dxfId="11" priority="5" stopIfTrue="1"/>
  </conditionalFormatting>
  <conditionalFormatting sqref="B29">
    <cfRule type="duplicateValues" dxfId="10" priority="3" stopIfTrue="1"/>
  </conditionalFormatting>
  <conditionalFormatting sqref="B68">
    <cfRule type="duplicateValues" dxfId="9" priority="2" stopIfTrue="1"/>
  </conditionalFormatting>
  <conditionalFormatting sqref="B8">
    <cfRule type="duplicateValues" dxfId="8" priority="1" stopIfTrue="1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5:AB141"/>
  <sheetViews>
    <sheetView showGridLines="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C15" sqref="C15"/>
    </sheetView>
  </sheetViews>
  <sheetFormatPr baseColWidth="10" defaultRowHeight="15" x14ac:dyDescent="0.25"/>
  <cols>
    <col min="2" max="2" width="10.42578125" bestFit="1" customWidth="1"/>
    <col min="3" max="3" width="58.42578125" bestFit="1" customWidth="1"/>
    <col min="4" max="4" width="8.85546875" bestFit="1" customWidth="1"/>
    <col min="5" max="5" width="7.7109375" bestFit="1" customWidth="1"/>
    <col min="6" max="7" width="6.42578125" bestFit="1" customWidth="1"/>
    <col min="10" max="14" width="4.7109375" customWidth="1"/>
    <col min="15" max="15" width="11.7109375" bestFit="1" customWidth="1"/>
    <col min="16" max="16" width="7.85546875" bestFit="1" customWidth="1"/>
    <col min="17" max="17" width="8.5703125" bestFit="1" customWidth="1"/>
    <col min="18" max="18" width="7.85546875" bestFit="1" customWidth="1"/>
    <col min="19" max="19" width="10.28515625" bestFit="1" customWidth="1"/>
    <col min="21" max="21" width="7.85546875" bestFit="1" customWidth="1"/>
    <col min="22" max="25" width="7.85546875" customWidth="1"/>
    <col min="27" max="28" width="10.140625" bestFit="1" customWidth="1"/>
  </cols>
  <sheetData>
    <row r="5" spans="2:28" ht="15.75" thickBot="1" x14ac:dyDescent="0.3"/>
    <row r="6" spans="2:28" ht="16.5" thickTop="1" thickBot="1" x14ac:dyDescent="0.3">
      <c r="B6" s="68" t="s">
        <v>1371</v>
      </c>
      <c r="C6" s="69" t="s">
        <v>1372</v>
      </c>
      <c r="D6" s="70" t="s">
        <v>1373</v>
      </c>
      <c r="E6" s="145" t="s">
        <v>1374</v>
      </c>
      <c r="F6" s="146"/>
      <c r="G6" s="146"/>
      <c r="H6" s="146"/>
      <c r="I6" s="146"/>
      <c r="J6" s="147" t="s">
        <v>1375</v>
      </c>
      <c r="K6" s="147"/>
      <c r="L6" s="147"/>
      <c r="M6" s="147"/>
      <c r="N6" s="147"/>
      <c r="O6" s="71" t="s">
        <v>1376</v>
      </c>
      <c r="P6" s="72" t="s">
        <v>1377</v>
      </c>
      <c r="Q6" s="72" t="s">
        <v>1378</v>
      </c>
      <c r="R6" s="73" t="s">
        <v>1379</v>
      </c>
      <c r="S6" s="70" t="s">
        <v>1379</v>
      </c>
      <c r="T6" s="74"/>
      <c r="U6" s="148" t="s">
        <v>1380</v>
      </c>
      <c r="V6" s="149"/>
      <c r="W6" s="149"/>
      <c r="X6" s="149"/>
      <c r="Y6" s="149"/>
      <c r="Z6" s="149"/>
      <c r="AA6" s="149"/>
      <c r="AB6" s="150"/>
    </row>
    <row r="7" spans="2:28" ht="17.25" thickTop="1" thickBot="1" x14ac:dyDescent="0.3">
      <c r="B7" s="4">
        <v>8000916</v>
      </c>
      <c r="C7" s="19" t="s">
        <v>1326</v>
      </c>
      <c r="D7" s="75"/>
      <c r="E7" s="76">
        <v>18.7</v>
      </c>
      <c r="F7" s="76"/>
      <c r="G7" s="76"/>
      <c r="H7" s="76"/>
      <c r="I7" s="77"/>
      <c r="J7" s="78">
        <f>IF(E7="",0,O7*((U7^2-AA7^2)/(AB7^2-AA7^2)))</f>
        <v>313.45849802371555</v>
      </c>
      <c r="K7" s="78">
        <f t="shared" ref="K7:K49" si="0">IF(F7="",0,O7*((V7^2-AA7^2)/(AB7^2-AA7^2)))</f>
        <v>0</v>
      </c>
      <c r="L7" s="78">
        <f t="shared" ref="L7:L49" si="1">IF(G7="",0,O7*((W7^2-AA7^2)/(AB7^2-AA7^2)))</f>
        <v>0</v>
      </c>
      <c r="M7" s="78">
        <f t="shared" ref="M7:M49" si="2">IF(H7="",0,O7*((X7^2-AA7^2)/(AB7^2-AA7^2)))</f>
        <v>0</v>
      </c>
      <c r="N7" s="78">
        <f t="shared" ref="N7:N49" si="3">IF(I7="",0,O7*((Y7^2-AA7^2)/(AB7^2-AA7^2)))</f>
        <v>0</v>
      </c>
      <c r="O7" s="79">
        <v>933</v>
      </c>
      <c r="P7" s="80">
        <v>10.199999999999999</v>
      </c>
      <c r="Q7" s="81">
        <v>28.9</v>
      </c>
      <c r="R7" s="82">
        <f>ROUND(SUBTOTAL(9,J7:N7),0)</f>
        <v>313</v>
      </c>
      <c r="S7" s="83">
        <f>+D7*O7+R7</f>
        <v>313</v>
      </c>
      <c r="T7" s="74"/>
      <c r="U7" s="84">
        <f t="shared" ref="U7:Y9" si="4">E7/100</f>
        <v>0.187</v>
      </c>
      <c r="V7" s="84">
        <f t="shared" si="4"/>
        <v>0</v>
      </c>
      <c r="W7" s="84">
        <f t="shared" si="4"/>
        <v>0</v>
      </c>
      <c r="X7" s="85">
        <f t="shared" si="4"/>
        <v>0</v>
      </c>
      <c r="Y7" s="85">
        <f t="shared" si="4"/>
        <v>0</v>
      </c>
      <c r="Z7" s="86"/>
      <c r="AA7" s="87">
        <f>P7/100</f>
        <v>0.10199999999999999</v>
      </c>
      <c r="AB7" s="88">
        <f>Q7/100</f>
        <v>0.28899999999999998</v>
      </c>
    </row>
    <row r="8" spans="2:28" ht="17.25" thickTop="1" thickBot="1" x14ac:dyDescent="0.3">
      <c r="B8" s="4">
        <v>8000829</v>
      </c>
      <c r="C8" s="19" t="s">
        <v>1327</v>
      </c>
      <c r="D8" s="75"/>
      <c r="E8" s="76">
        <v>33.200000000000003</v>
      </c>
      <c r="F8" s="76"/>
      <c r="G8" s="76"/>
      <c r="H8" s="76"/>
      <c r="I8" s="77"/>
      <c r="J8" s="78">
        <f>IF(E8="",0,O8*((U8^2-AA8^2)/(AB8^2-AA8^2)))</f>
        <v>846.61660833598478</v>
      </c>
      <c r="K8" s="78">
        <f>IF(F8="",0,O8*((V8^2-AA8^2)/(AB8^2-AA8^2)))</f>
        <v>0</v>
      </c>
      <c r="L8" s="78">
        <f>IF(G8="",0,O8*((W8^2-AA8^2)/(AB8^2-AA8^2)))</f>
        <v>0</v>
      </c>
      <c r="M8" s="78">
        <f>IF(H8="",0,O8*((X8^2-AA8^2)/(AB8^2-AA8^2)))</f>
        <v>0</v>
      </c>
      <c r="N8" s="78">
        <f>IF(I8="",0,O8*((Y8^2-AA8^2)/(AB8^2-AA8^2)))</f>
        <v>0</v>
      </c>
      <c r="O8" s="79">
        <v>933</v>
      </c>
      <c r="P8" s="80">
        <v>10.199999999999999</v>
      </c>
      <c r="Q8" s="81">
        <v>34.700000000000003</v>
      </c>
      <c r="R8" s="82">
        <f>ROUND(SUBTOTAL(9,J8:N8),0)</f>
        <v>847</v>
      </c>
      <c r="S8" s="83">
        <f>+D8*O8+R8</f>
        <v>847</v>
      </c>
      <c r="T8" s="74"/>
      <c r="U8" s="84">
        <f>E8/100</f>
        <v>0.33200000000000002</v>
      </c>
      <c r="V8" s="84">
        <f>F8/100</f>
        <v>0</v>
      </c>
      <c r="W8" s="84">
        <f>G8/100</f>
        <v>0</v>
      </c>
      <c r="X8" s="85">
        <f>H8/100</f>
        <v>0</v>
      </c>
      <c r="Y8" s="85">
        <f>I8/100</f>
        <v>0</v>
      </c>
      <c r="Z8" s="86"/>
      <c r="AA8" s="87">
        <f>P8/100</f>
        <v>0.10199999999999999</v>
      </c>
      <c r="AB8" s="88">
        <f>Q8/100</f>
        <v>0.34700000000000003</v>
      </c>
    </row>
    <row r="9" spans="2:28" ht="17.25" thickTop="1" thickBot="1" x14ac:dyDescent="0.3">
      <c r="B9" s="4">
        <v>8000832</v>
      </c>
      <c r="C9" s="19" t="s">
        <v>1328</v>
      </c>
      <c r="D9" s="75">
        <v>4</v>
      </c>
      <c r="E9" s="76">
        <v>30.5</v>
      </c>
      <c r="F9" s="76">
        <v>13.6</v>
      </c>
      <c r="G9" s="76"/>
      <c r="H9" s="76"/>
      <c r="I9" s="77"/>
      <c r="J9" s="78">
        <f>IF(E9="",0,O9*((U9^2-AA9^2)/(AB9^2-AA9^2)))</f>
        <v>494.39167254763578</v>
      </c>
      <c r="K9" s="78">
        <f t="shared" si="0"/>
        <v>49.51437896965421</v>
      </c>
      <c r="L9" s="78">
        <f t="shared" si="1"/>
        <v>0</v>
      </c>
      <c r="M9" s="78">
        <f t="shared" si="2"/>
        <v>0</v>
      </c>
      <c r="N9" s="78">
        <f t="shared" si="3"/>
        <v>0</v>
      </c>
      <c r="O9" s="79">
        <v>609</v>
      </c>
      <c r="P9" s="80">
        <v>10.1</v>
      </c>
      <c r="Q9" s="81">
        <v>33.5</v>
      </c>
      <c r="R9" s="89">
        <f t="shared" ref="R9:R51" si="5">ROUND(SUBTOTAL(9,J9:N9),0)</f>
        <v>544</v>
      </c>
      <c r="S9" s="90">
        <f>+D9*O9+R9</f>
        <v>2980</v>
      </c>
      <c r="T9" s="91"/>
      <c r="U9" s="84">
        <f t="shared" si="4"/>
        <v>0.30499999999999999</v>
      </c>
      <c r="V9" s="84">
        <f t="shared" si="4"/>
        <v>0.13600000000000001</v>
      </c>
      <c r="W9" s="84">
        <f t="shared" si="4"/>
        <v>0</v>
      </c>
      <c r="X9" s="85">
        <f t="shared" si="4"/>
        <v>0</v>
      </c>
      <c r="Y9" s="85">
        <f t="shared" si="4"/>
        <v>0</v>
      </c>
      <c r="Z9" s="92"/>
      <c r="AA9" s="87">
        <f t="shared" ref="AA9:AB20" si="6">P9/100</f>
        <v>0.10099999999999999</v>
      </c>
      <c r="AB9" s="88">
        <f>Q9/100</f>
        <v>0.33500000000000002</v>
      </c>
    </row>
    <row r="10" spans="2:28" ht="17.25" hidden="1" thickTop="1" thickBot="1" x14ac:dyDescent="0.3">
      <c r="B10" s="4">
        <v>8012552</v>
      </c>
      <c r="C10" s="19" t="s">
        <v>867</v>
      </c>
      <c r="D10" s="75"/>
      <c r="E10" s="76"/>
      <c r="F10" s="76"/>
      <c r="G10" s="76"/>
      <c r="H10" s="76"/>
      <c r="I10" s="77"/>
      <c r="J10" s="78"/>
      <c r="K10" s="78"/>
      <c r="L10" s="78"/>
      <c r="M10" s="78"/>
      <c r="N10" s="78"/>
      <c r="O10" s="79"/>
      <c r="P10" s="80"/>
      <c r="Q10" s="81"/>
      <c r="R10" s="89"/>
      <c r="S10" s="90"/>
      <c r="T10" s="91"/>
      <c r="U10" s="84"/>
      <c r="V10" s="84"/>
      <c r="W10" s="84"/>
      <c r="X10" s="85"/>
      <c r="Y10" s="85"/>
      <c r="Z10" s="92"/>
      <c r="AA10" s="87"/>
      <c r="AB10" s="88"/>
    </row>
    <row r="11" spans="2:28" ht="17.25" thickTop="1" thickBot="1" x14ac:dyDescent="0.3">
      <c r="B11" s="6">
        <v>8025777</v>
      </c>
      <c r="C11" s="93" t="s">
        <v>1329</v>
      </c>
      <c r="D11" s="75"/>
      <c r="E11" s="76">
        <v>29.2</v>
      </c>
      <c r="F11" s="76"/>
      <c r="G11" s="76"/>
      <c r="H11" s="76"/>
      <c r="I11" s="94"/>
      <c r="J11" s="78">
        <f>IF(E11="",0,O11*((U11^2-AA11^2)/(AB11^2-AA11^2)))</f>
        <v>860.41632006337886</v>
      </c>
      <c r="K11" s="78">
        <f t="shared" si="0"/>
        <v>0</v>
      </c>
      <c r="L11" s="78">
        <f t="shared" si="1"/>
        <v>0</v>
      </c>
      <c r="M11" s="78">
        <f t="shared" si="2"/>
        <v>0</v>
      </c>
      <c r="N11" s="78">
        <f t="shared" si="3"/>
        <v>0</v>
      </c>
      <c r="O11" s="79">
        <v>914</v>
      </c>
      <c r="P11" s="80">
        <v>9.6</v>
      </c>
      <c r="Q11" s="81">
        <v>30</v>
      </c>
      <c r="R11" s="89">
        <f t="shared" si="5"/>
        <v>860</v>
      </c>
      <c r="S11" s="90">
        <f t="shared" ref="S11:S53" si="7">+D11*O11+R11</f>
        <v>860</v>
      </c>
      <c r="T11" s="91"/>
      <c r="U11" s="84">
        <f t="shared" ref="U11:Y22" si="8">E11/100</f>
        <v>0.29199999999999998</v>
      </c>
      <c r="V11" s="84">
        <f t="shared" si="8"/>
        <v>0</v>
      </c>
      <c r="W11" s="84">
        <f t="shared" si="8"/>
        <v>0</v>
      </c>
      <c r="X11" s="85">
        <f t="shared" si="8"/>
        <v>0</v>
      </c>
      <c r="Y11" s="85">
        <f t="shared" si="8"/>
        <v>0</v>
      </c>
      <c r="Z11" s="92"/>
      <c r="AA11" s="87">
        <f t="shared" si="6"/>
        <v>9.6000000000000002E-2</v>
      </c>
      <c r="AB11" s="88">
        <f t="shared" si="6"/>
        <v>0.3</v>
      </c>
    </row>
    <row r="12" spans="2:28" ht="17.25" thickTop="1" thickBot="1" x14ac:dyDescent="0.3">
      <c r="B12" s="6">
        <v>8019450</v>
      </c>
      <c r="C12" s="93" t="s">
        <v>1330</v>
      </c>
      <c r="D12" s="75">
        <v>1</v>
      </c>
      <c r="E12" s="95">
        <v>26.2</v>
      </c>
      <c r="F12" s="76"/>
      <c r="G12" s="76"/>
      <c r="H12" s="76"/>
      <c r="I12" s="94"/>
      <c r="J12" s="78">
        <f t="shared" ref="J12:J50" si="9">IF(E12="",0,O12*((U12^2-AA12^2)/(AB12^2-AA12^2)))</f>
        <v>520.51394785008574</v>
      </c>
      <c r="K12" s="78">
        <f t="shared" si="0"/>
        <v>0</v>
      </c>
      <c r="L12" s="78">
        <f t="shared" si="1"/>
        <v>0</v>
      </c>
      <c r="M12" s="78">
        <f t="shared" si="2"/>
        <v>0</v>
      </c>
      <c r="N12" s="78">
        <f t="shared" si="3"/>
        <v>0</v>
      </c>
      <c r="O12" s="79">
        <v>914</v>
      </c>
      <c r="P12" s="80">
        <v>9.6</v>
      </c>
      <c r="Q12" s="81">
        <v>33.700000000000003</v>
      </c>
      <c r="R12" s="89">
        <f t="shared" si="5"/>
        <v>521</v>
      </c>
      <c r="S12" s="90">
        <f t="shared" si="7"/>
        <v>1435</v>
      </c>
      <c r="T12" s="91"/>
      <c r="U12" s="84">
        <f t="shared" si="8"/>
        <v>0.26200000000000001</v>
      </c>
      <c r="V12" s="84">
        <f t="shared" si="8"/>
        <v>0</v>
      </c>
      <c r="W12" s="84">
        <f>G12/100</f>
        <v>0</v>
      </c>
      <c r="X12" s="85">
        <f t="shared" si="8"/>
        <v>0</v>
      </c>
      <c r="Y12" s="85">
        <f t="shared" si="8"/>
        <v>0</v>
      </c>
      <c r="Z12" s="92"/>
      <c r="AA12" s="87">
        <f t="shared" si="6"/>
        <v>9.6000000000000002E-2</v>
      </c>
      <c r="AB12" s="88">
        <f t="shared" si="6"/>
        <v>0.33700000000000002</v>
      </c>
    </row>
    <row r="13" spans="2:28" ht="17.25" thickTop="1" thickBot="1" x14ac:dyDescent="0.3">
      <c r="B13" s="6">
        <v>8025703</v>
      </c>
      <c r="C13" s="93" t="s">
        <v>1331</v>
      </c>
      <c r="D13" s="75">
        <v>1</v>
      </c>
      <c r="E13" s="76">
        <v>27.4</v>
      </c>
      <c r="F13" s="76"/>
      <c r="G13" s="76"/>
      <c r="H13" s="76"/>
      <c r="I13" s="94"/>
      <c r="J13" s="78">
        <f t="shared" si="9"/>
        <v>414.30021285128151</v>
      </c>
      <c r="K13" s="78">
        <f>IF(F13="",0,O13*((V13^2-AA13^2)/(AB13^2-AA13^2)))</f>
        <v>0</v>
      </c>
      <c r="L13" s="78">
        <f t="shared" si="1"/>
        <v>0</v>
      </c>
      <c r="M13" s="78">
        <f t="shared" si="2"/>
        <v>0</v>
      </c>
      <c r="N13" s="78">
        <f t="shared" si="3"/>
        <v>0</v>
      </c>
      <c r="O13" s="79">
        <v>610</v>
      </c>
      <c r="P13" s="80">
        <v>9.5</v>
      </c>
      <c r="Q13" s="81">
        <v>32.6</v>
      </c>
      <c r="R13" s="89">
        <f t="shared" si="5"/>
        <v>414</v>
      </c>
      <c r="S13" s="90">
        <f t="shared" si="7"/>
        <v>1024</v>
      </c>
      <c r="T13" s="91"/>
      <c r="U13" s="84">
        <f>E13/100</f>
        <v>0.27399999999999997</v>
      </c>
      <c r="V13" s="84">
        <f>F13/100</f>
        <v>0</v>
      </c>
      <c r="W13" s="84">
        <f t="shared" ref="W13:Y37" si="10">G13/100</f>
        <v>0</v>
      </c>
      <c r="X13" s="85">
        <f t="shared" si="8"/>
        <v>0</v>
      </c>
      <c r="Y13" s="85">
        <f t="shared" si="8"/>
        <v>0</v>
      </c>
      <c r="Z13" s="92"/>
      <c r="AA13" s="87">
        <f t="shared" si="6"/>
        <v>9.5000000000000001E-2</v>
      </c>
      <c r="AB13" s="88">
        <f t="shared" si="6"/>
        <v>0.32600000000000001</v>
      </c>
    </row>
    <row r="14" spans="2:28" ht="16.5" thickBot="1" x14ac:dyDescent="0.3">
      <c r="B14" s="6">
        <v>8019568</v>
      </c>
      <c r="C14" s="93" t="s">
        <v>1332</v>
      </c>
      <c r="D14" s="75"/>
      <c r="E14" s="76">
        <v>30.7</v>
      </c>
      <c r="F14" s="76"/>
      <c r="G14" s="76"/>
      <c r="H14" s="76"/>
      <c r="I14" s="94"/>
      <c r="J14" s="78">
        <f>IF(E14="",0,O14*((U14^2-AA14^2)/(AB14^2-AA14^2)))</f>
        <v>448.17254894444807</v>
      </c>
      <c r="K14" s="78">
        <f>IF(F14="",0,O14*((V14^2-AA14^2)/(AB14^2-AA14^2)))</f>
        <v>0</v>
      </c>
      <c r="L14" s="78">
        <f>IF(G14="",0,O14*((W14^2-AA14^2)/(AB14^2-AA14^2)))</f>
        <v>0</v>
      </c>
      <c r="M14" s="78">
        <f>IF(H14="",0,O14*((X14^2-AA14^2)/(AB14^2-AA14^2)))</f>
        <v>0</v>
      </c>
      <c r="N14" s="78">
        <f>IF(I14="",0,O14*((Y14^2-AA14^2)/(AB14^2-AA14^2)))</f>
        <v>0</v>
      </c>
      <c r="O14" s="96">
        <v>550</v>
      </c>
      <c r="P14" s="96">
        <v>9.6</v>
      </c>
      <c r="Q14" s="96">
        <v>33.700000000000003</v>
      </c>
      <c r="R14" s="89">
        <f>ROUND(SUBTOTAL(9,J14:N14),0)</f>
        <v>448</v>
      </c>
      <c r="S14" s="90">
        <f>+D14*O14+R14</f>
        <v>448</v>
      </c>
      <c r="T14" s="91"/>
      <c r="U14" s="84">
        <f>E14/100</f>
        <v>0.307</v>
      </c>
      <c r="V14" s="84">
        <f>F14/100</f>
        <v>0</v>
      </c>
      <c r="W14" s="84">
        <f>G14/100</f>
        <v>0</v>
      </c>
      <c r="X14" s="85">
        <f>H14/100</f>
        <v>0</v>
      </c>
      <c r="Y14" s="85">
        <f>I14/100</f>
        <v>0</v>
      </c>
      <c r="Z14" s="92"/>
      <c r="AA14" s="87">
        <f>P14/100</f>
        <v>9.6000000000000002E-2</v>
      </c>
      <c r="AB14" s="88">
        <f>Q14/100</f>
        <v>0.33700000000000002</v>
      </c>
    </row>
    <row r="15" spans="2:28" ht="17.25" thickTop="1" thickBot="1" x14ac:dyDescent="0.3">
      <c r="B15" s="97">
        <v>8024277</v>
      </c>
      <c r="C15" s="98" t="s">
        <v>938</v>
      </c>
      <c r="D15" s="75">
        <v>1</v>
      </c>
      <c r="E15" s="76">
        <v>19</v>
      </c>
      <c r="F15" s="76"/>
      <c r="G15" s="76"/>
      <c r="H15" s="76"/>
      <c r="I15" s="94"/>
      <c r="J15" s="78">
        <f t="shared" si="9"/>
        <v>408.53873239436621</v>
      </c>
      <c r="K15" s="78">
        <f t="shared" si="0"/>
        <v>0</v>
      </c>
      <c r="L15" s="78">
        <f t="shared" si="1"/>
        <v>0</v>
      </c>
      <c r="M15" s="78">
        <f t="shared" si="2"/>
        <v>0</v>
      </c>
      <c r="N15" s="78">
        <f t="shared" si="3"/>
        <v>0</v>
      </c>
      <c r="O15" s="99">
        <v>750</v>
      </c>
      <c r="P15" s="80">
        <v>9.9</v>
      </c>
      <c r="Q15" s="81">
        <v>24.1</v>
      </c>
      <c r="R15" s="89">
        <f t="shared" si="5"/>
        <v>409</v>
      </c>
      <c r="S15" s="90">
        <f>+D15*O15+R15</f>
        <v>1159</v>
      </c>
      <c r="T15" s="91"/>
      <c r="U15" s="84">
        <f t="shared" ref="U15:Y34" si="11">E15/100</f>
        <v>0.19</v>
      </c>
      <c r="V15" s="84">
        <f>F15/100</f>
        <v>0</v>
      </c>
      <c r="W15" s="84">
        <f t="shared" si="10"/>
        <v>0</v>
      </c>
      <c r="X15" s="85">
        <f t="shared" si="8"/>
        <v>0</v>
      </c>
      <c r="Y15" s="85">
        <f t="shared" si="8"/>
        <v>0</v>
      </c>
      <c r="Z15" s="92"/>
      <c r="AA15" s="87">
        <f t="shared" si="6"/>
        <v>9.9000000000000005E-2</v>
      </c>
      <c r="AB15" s="88">
        <f t="shared" si="6"/>
        <v>0.24100000000000002</v>
      </c>
    </row>
    <row r="16" spans="2:28" ht="17.25" thickTop="1" thickBot="1" x14ac:dyDescent="0.3">
      <c r="B16" s="97">
        <v>8024278</v>
      </c>
      <c r="C16" s="98" t="s">
        <v>939</v>
      </c>
      <c r="D16" s="75"/>
      <c r="E16" s="76">
        <v>15.9</v>
      </c>
      <c r="F16" s="76">
        <v>19</v>
      </c>
      <c r="G16" s="76"/>
      <c r="H16" s="76"/>
      <c r="I16" s="94"/>
      <c r="J16" s="78">
        <f t="shared" si="9"/>
        <v>240.77205882352942</v>
      </c>
      <c r="K16" s="78">
        <f t="shared" si="0"/>
        <v>411.23949579831935</v>
      </c>
      <c r="L16" s="78">
        <f t="shared" si="1"/>
        <v>0</v>
      </c>
      <c r="M16" s="78">
        <f t="shared" si="2"/>
        <v>0</v>
      </c>
      <c r="N16" s="78">
        <f t="shared" si="3"/>
        <v>0</v>
      </c>
      <c r="O16" s="79">
        <v>750</v>
      </c>
      <c r="P16" s="80">
        <v>10</v>
      </c>
      <c r="Q16" s="81">
        <v>24</v>
      </c>
      <c r="R16" s="89">
        <f t="shared" si="5"/>
        <v>652</v>
      </c>
      <c r="S16" s="90">
        <f t="shared" si="7"/>
        <v>652</v>
      </c>
      <c r="T16" s="91"/>
      <c r="U16" s="84">
        <f t="shared" si="11"/>
        <v>0.159</v>
      </c>
      <c r="V16" s="84">
        <f t="shared" si="11"/>
        <v>0.19</v>
      </c>
      <c r="W16" s="84">
        <f t="shared" si="10"/>
        <v>0</v>
      </c>
      <c r="X16" s="85">
        <f t="shared" si="8"/>
        <v>0</v>
      </c>
      <c r="Y16" s="85">
        <f t="shared" si="8"/>
        <v>0</v>
      </c>
      <c r="Z16" s="92"/>
      <c r="AA16" s="87">
        <f t="shared" si="6"/>
        <v>0.1</v>
      </c>
      <c r="AB16" s="88">
        <f t="shared" si="6"/>
        <v>0.24</v>
      </c>
    </row>
    <row r="17" spans="2:28" ht="17.25" thickTop="1" thickBot="1" x14ac:dyDescent="0.3">
      <c r="B17" s="97">
        <v>8022770</v>
      </c>
      <c r="C17" s="98" t="s">
        <v>932</v>
      </c>
      <c r="D17" s="75"/>
      <c r="E17" s="76">
        <v>23.2</v>
      </c>
      <c r="F17" s="76"/>
      <c r="G17" s="76"/>
      <c r="H17" s="76"/>
      <c r="I17" s="94"/>
      <c r="J17" s="78">
        <f t="shared" si="9"/>
        <v>657.76655510399246</v>
      </c>
      <c r="K17" s="78">
        <f t="shared" si="0"/>
        <v>0</v>
      </c>
      <c r="L17" s="78">
        <f t="shared" si="1"/>
        <v>0</v>
      </c>
      <c r="M17" s="78">
        <f t="shared" si="2"/>
        <v>0</v>
      </c>
      <c r="N17" s="78">
        <f t="shared" si="3"/>
        <v>0</v>
      </c>
      <c r="O17" s="79">
        <v>1000</v>
      </c>
      <c r="P17" s="80">
        <v>9.9</v>
      </c>
      <c r="Q17" s="81">
        <v>27.7</v>
      </c>
      <c r="R17" s="89">
        <f t="shared" si="5"/>
        <v>658</v>
      </c>
      <c r="S17" s="90">
        <f t="shared" si="7"/>
        <v>658</v>
      </c>
      <c r="T17" s="91"/>
      <c r="U17" s="84">
        <f t="shared" si="11"/>
        <v>0.23199999999999998</v>
      </c>
      <c r="V17" s="84">
        <f t="shared" si="11"/>
        <v>0</v>
      </c>
      <c r="W17" s="84">
        <f t="shared" si="10"/>
        <v>0</v>
      </c>
      <c r="X17" s="85">
        <f t="shared" si="8"/>
        <v>0</v>
      </c>
      <c r="Y17" s="85">
        <f t="shared" si="8"/>
        <v>0</v>
      </c>
      <c r="Z17" s="92"/>
      <c r="AA17" s="87">
        <f t="shared" si="6"/>
        <v>9.9000000000000005E-2</v>
      </c>
      <c r="AB17" s="88">
        <f t="shared" si="6"/>
        <v>0.27699999999999997</v>
      </c>
    </row>
    <row r="18" spans="2:28" ht="17.25" thickTop="1" thickBot="1" x14ac:dyDescent="0.3">
      <c r="B18" s="97">
        <v>8024351</v>
      </c>
      <c r="C18" s="98" t="s">
        <v>941</v>
      </c>
      <c r="D18" s="75"/>
      <c r="E18" s="76">
        <v>23.1</v>
      </c>
      <c r="F18" s="76"/>
      <c r="G18" s="76"/>
      <c r="H18" s="76"/>
      <c r="I18" s="94"/>
      <c r="J18" s="78">
        <f t="shared" si="9"/>
        <v>690.15407143311904</v>
      </c>
      <c r="K18" s="78">
        <f t="shared" si="0"/>
        <v>0</v>
      </c>
      <c r="L18" s="78">
        <f t="shared" si="1"/>
        <v>0</v>
      </c>
      <c r="M18" s="78">
        <f t="shared" si="2"/>
        <v>0</v>
      </c>
      <c r="N18" s="78">
        <f t="shared" si="3"/>
        <v>0</v>
      </c>
      <c r="O18" s="79">
        <v>750</v>
      </c>
      <c r="P18" s="80">
        <v>10</v>
      </c>
      <c r="Q18" s="81">
        <v>23.9</v>
      </c>
      <c r="R18" s="89">
        <f t="shared" si="5"/>
        <v>690</v>
      </c>
      <c r="S18" s="90">
        <f>+D18*O18+R18</f>
        <v>690</v>
      </c>
      <c r="T18" s="91"/>
      <c r="U18" s="84">
        <f t="shared" si="11"/>
        <v>0.23100000000000001</v>
      </c>
      <c r="V18" s="84">
        <f t="shared" si="11"/>
        <v>0</v>
      </c>
      <c r="W18" s="84">
        <f t="shared" si="11"/>
        <v>0</v>
      </c>
      <c r="X18" s="85">
        <f t="shared" si="11"/>
        <v>0</v>
      </c>
      <c r="Y18" s="85">
        <f t="shared" si="11"/>
        <v>0</v>
      </c>
      <c r="Z18" s="92"/>
      <c r="AA18" s="87">
        <f t="shared" si="6"/>
        <v>0.1</v>
      </c>
      <c r="AB18" s="88">
        <f t="shared" si="6"/>
        <v>0.23899999999999999</v>
      </c>
    </row>
    <row r="19" spans="2:28" ht="17.25" thickTop="1" thickBot="1" x14ac:dyDescent="0.3">
      <c r="B19" s="97">
        <v>8048668</v>
      </c>
      <c r="C19" s="98" t="s">
        <v>1191</v>
      </c>
      <c r="D19" s="75"/>
      <c r="E19" s="76">
        <v>25</v>
      </c>
      <c r="F19" s="76"/>
      <c r="G19" s="76"/>
      <c r="H19" s="76"/>
      <c r="I19" s="94"/>
      <c r="J19" s="78">
        <f t="shared" si="9"/>
        <v>812.41325536062357</v>
      </c>
      <c r="K19" s="78">
        <f t="shared" si="0"/>
        <v>0</v>
      </c>
      <c r="L19" s="78">
        <f t="shared" si="1"/>
        <v>0</v>
      </c>
      <c r="M19" s="78">
        <f t="shared" si="2"/>
        <v>0</v>
      </c>
      <c r="N19" s="78">
        <f t="shared" si="3"/>
        <v>0</v>
      </c>
      <c r="O19" s="79">
        <v>1000</v>
      </c>
      <c r="P19" s="80">
        <v>10.199999999999999</v>
      </c>
      <c r="Q19" s="81">
        <v>27.3</v>
      </c>
      <c r="R19" s="89">
        <f t="shared" si="5"/>
        <v>812</v>
      </c>
      <c r="S19" s="90">
        <f t="shared" si="7"/>
        <v>812</v>
      </c>
      <c r="T19" s="91"/>
      <c r="U19" s="84">
        <f t="shared" si="11"/>
        <v>0.25</v>
      </c>
      <c r="V19" s="84">
        <f t="shared" si="11"/>
        <v>0</v>
      </c>
      <c r="W19" s="84">
        <f t="shared" si="11"/>
        <v>0</v>
      </c>
      <c r="X19" s="85">
        <f t="shared" si="11"/>
        <v>0</v>
      </c>
      <c r="Y19" s="85">
        <f t="shared" si="11"/>
        <v>0</v>
      </c>
      <c r="Z19" s="92"/>
      <c r="AA19" s="87">
        <f t="shared" si="6"/>
        <v>0.10199999999999999</v>
      </c>
      <c r="AB19" s="88">
        <f t="shared" si="6"/>
        <v>0.27300000000000002</v>
      </c>
    </row>
    <row r="20" spans="2:28" ht="17.25" thickTop="1" thickBot="1" x14ac:dyDescent="0.3">
      <c r="B20" s="65">
        <v>8029494</v>
      </c>
      <c r="C20" s="101" t="s">
        <v>1333</v>
      </c>
      <c r="D20" s="75">
        <v>1</v>
      </c>
      <c r="E20" s="76">
        <v>23.4</v>
      </c>
      <c r="F20" s="76"/>
      <c r="G20" s="76"/>
      <c r="H20" s="76"/>
      <c r="I20" s="94"/>
      <c r="J20" s="78">
        <f t="shared" si="9"/>
        <v>686.78227360308313</v>
      </c>
      <c r="K20" s="78">
        <f t="shared" si="0"/>
        <v>0</v>
      </c>
      <c r="L20" s="78">
        <f t="shared" si="1"/>
        <v>0</v>
      </c>
      <c r="M20" s="78">
        <f t="shared" si="2"/>
        <v>0</v>
      </c>
      <c r="N20" s="78">
        <f t="shared" si="3"/>
        <v>0</v>
      </c>
      <c r="O20" s="79">
        <v>1000</v>
      </c>
      <c r="P20" s="80">
        <v>10.1</v>
      </c>
      <c r="Q20" s="81">
        <v>27.4</v>
      </c>
      <c r="R20" s="89">
        <f t="shared" si="5"/>
        <v>687</v>
      </c>
      <c r="S20" s="90">
        <f t="shared" si="7"/>
        <v>1687</v>
      </c>
      <c r="T20" s="91"/>
      <c r="U20" s="84">
        <f t="shared" si="11"/>
        <v>0.23399999999999999</v>
      </c>
      <c r="V20" s="84">
        <f t="shared" si="11"/>
        <v>0</v>
      </c>
      <c r="W20" s="84">
        <f t="shared" si="11"/>
        <v>0</v>
      </c>
      <c r="X20" s="85">
        <f t="shared" si="11"/>
        <v>0</v>
      </c>
      <c r="Y20" s="85">
        <f t="shared" si="11"/>
        <v>0</v>
      </c>
      <c r="Z20" s="92"/>
      <c r="AA20" s="87">
        <f t="shared" si="6"/>
        <v>0.10099999999999999</v>
      </c>
      <c r="AB20" s="88">
        <f t="shared" si="6"/>
        <v>0.27399999999999997</v>
      </c>
    </row>
    <row r="21" spans="2:28" ht="17.25" thickTop="1" thickBot="1" x14ac:dyDescent="0.3">
      <c r="B21" s="102">
        <v>8044206</v>
      </c>
      <c r="C21" s="101" t="s">
        <v>1114</v>
      </c>
      <c r="D21" s="75"/>
      <c r="E21" s="76">
        <v>14.7</v>
      </c>
      <c r="F21" s="76"/>
      <c r="G21" s="76"/>
      <c r="H21" s="76"/>
      <c r="I21" s="94"/>
      <c r="J21" s="78">
        <f t="shared" si="9"/>
        <v>171.80049370601486</v>
      </c>
      <c r="K21" s="78">
        <f>IF(F21="",0,O21*((V21^2-AA21^2)/(AB21^2-AA21^2)))</f>
        <v>0</v>
      </c>
      <c r="L21" s="78">
        <f>IF(G21="",0,O21*((W21^2-AA21^2)/(AB21^2-AA21^2)))</f>
        <v>0</v>
      </c>
      <c r="M21" s="78">
        <f>IF(H21="",0,O21*((X21^2-AA21^2)/(AB21^2-AA21^2)))</f>
        <v>0</v>
      </c>
      <c r="N21" s="78">
        <f>IF(I21="",0,O21*((Y21^2-AA21^2)/(AB21^2-AA21^2)))</f>
        <v>0</v>
      </c>
      <c r="O21" s="79">
        <v>1000</v>
      </c>
      <c r="P21" s="80">
        <v>10.199999999999999</v>
      </c>
      <c r="Q21" s="81">
        <v>27.5</v>
      </c>
      <c r="R21" s="89">
        <f>ROUND(SUBTOTAL(9,J21:N21),0)</f>
        <v>172</v>
      </c>
      <c r="S21" s="90">
        <f>+D21*O21+R21</f>
        <v>172</v>
      </c>
      <c r="T21" s="91"/>
      <c r="U21" s="84">
        <f t="shared" si="11"/>
        <v>0.14699999999999999</v>
      </c>
      <c r="V21" s="84">
        <f t="shared" si="11"/>
        <v>0</v>
      </c>
      <c r="W21" s="84">
        <f t="shared" si="11"/>
        <v>0</v>
      </c>
      <c r="X21" s="85">
        <f t="shared" si="11"/>
        <v>0</v>
      </c>
      <c r="Y21" s="85">
        <f t="shared" si="11"/>
        <v>0</v>
      </c>
      <c r="Z21" s="92"/>
      <c r="AA21" s="87">
        <f>P21/100</f>
        <v>0.10199999999999999</v>
      </c>
      <c r="AB21" s="88">
        <f>Q21/100</f>
        <v>0.27500000000000002</v>
      </c>
    </row>
    <row r="22" spans="2:28" ht="17.25" thickTop="1" thickBot="1" x14ac:dyDescent="0.3">
      <c r="B22" s="65">
        <v>8038477</v>
      </c>
      <c r="C22" s="101" t="s">
        <v>1334</v>
      </c>
      <c r="D22" s="75"/>
      <c r="E22" s="76">
        <v>14.3</v>
      </c>
      <c r="F22" s="76"/>
      <c r="G22" s="76"/>
      <c r="H22" s="76"/>
      <c r="I22" s="94"/>
      <c r="J22" s="78">
        <f t="shared" si="9"/>
        <v>172.91135204081638</v>
      </c>
      <c r="K22" s="78">
        <f t="shared" si="0"/>
        <v>0</v>
      </c>
      <c r="L22" s="78">
        <f t="shared" si="1"/>
        <v>0</v>
      </c>
      <c r="M22" s="78">
        <f t="shared" si="2"/>
        <v>0</v>
      </c>
      <c r="N22" s="78">
        <f t="shared" si="3"/>
        <v>0</v>
      </c>
      <c r="O22" s="79">
        <v>750</v>
      </c>
      <c r="P22" s="80">
        <v>9.8000000000000007</v>
      </c>
      <c r="Q22" s="81">
        <v>23.8</v>
      </c>
      <c r="R22" s="89">
        <f t="shared" si="5"/>
        <v>173</v>
      </c>
      <c r="S22" s="90">
        <f t="shared" si="7"/>
        <v>173</v>
      </c>
      <c r="T22" s="91"/>
      <c r="U22" s="84">
        <f>E22/100</f>
        <v>0.14300000000000002</v>
      </c>
      <c r="V22" s="84">
        <f t="shared" si="11"/>
        <v>0</v>
      </c>
      <c r="W22" s="84">
        <f t="shared" si="10"/>
        <v>0</v>
      </c>
      <c r="X22" s="85">
        <f t="shared" si="8"/>
        <v>0</v>
      </c>
      <c r="Y22" s="85">
        <f t="shared" si="8"/>
        <v>0</v>
      </c>
      <c r="Z22" s="92"/>
      <c r="AA22" s="87">
        <f t="shared" ref="AA22:AB47" si="12">P22/100</f>
        <v>9.8000000000000004E-2</v>
      </c>
      <c r="AB22" s="88">
        <f t="shared" si="12"/>
        <v>0.23800000000000002</v>
      </c>
    </row>
    <row r="23" spans="2:28" ht="17.25" thickTop="1" thickBot="1" x14ac:dyDescent="0.3">
      <c r="B23" s="103">
        <v>8000878</v>
      </c>
      <c r="C23" s="104" t="s">
        <v>1335</v>
      </c>
      <c r="D23" s="75"/>
      <c r="E23" s="76">
        <v>12.6</v>
      </c>
      <c r="F23" s="76"/>
      <c r="G23" s="76"/>
      <c r="H23" s="76"/>
      <c r="I23" s="94"/>
      <c r="J23" s="78">
        <f t="shared" si="9"/>
        <v>86.396518261483266</v>
      </c>
      <c r="K23" s="78">
        <f t="shared" si="0"/>
        <v>0</v>
      </c>
      <c r="L23" s="78">
        <f t="shared" si="1"/>
        <v>0</v>
      </c>
      <c r="M23" s="78">
        <f t="shared" si="2"/>
        <v>0</v>
      </c>
      <c r="N23" s="78">
        <f t="shared" si="3"/>
        <v>0</v>
      </c>
      <c r="O23" s="79">
        <v>750</v>
      </c>
      <c r="P23" s="80">
        <v>10</v>
      </c>
      <c r="Q23" s="81">
        <v>24.7</v>
      </c>
      <c r="R23" s="89">
        <f t="shared" si="5"/>
        <v>86</v>
      </c>
      <c r="S23" s="90">
        <f t="shared" si="7"/>
        <v>86</v>
      </c>
      <c r="T23" s="91"/>
      <c r="U23" s="84">
        <f>E23/100</f>
        <v>0.126</v>
      </c>
      <c r="V23" s="84">
        <f t="shared" si="11"/>
        <v>0</v>
      </c>
      <c r="W23" s="84">
        <f t="shared" si="11"/>
        <v>0</v>
      </c>
      <c r="X23" s="85">
        <f t="shared" si="11"/>
        <v>0</v>
      </c>
      <c r="Y23" s="85">
        <f t="shared" si="11"/>
        <v>0</v>
      </c>
      <c r="Z23" s="92"/>
      <c r="AA23" s="87">
        <f t="shared" si="12"/>
        <v>0.1</v>
      </c>
      <c r="AB23" s="88">
        <f t="shared" si="12"/>
        <v>0.247</v>
      </c>
    </row>
    <row r="24" spans="2:28" ht="17.25" thickTop="1" thickBot="1" x14ac:dyDescent="0.3">
      <c r="B24" s="103">
        <v>8000860</v>
      </c>
      <c r="C24" s="104" t="s">
        <v>1336</v>
      </c>
      <c r="D24" s="75"/>
      <c r="E24" s="76">
        <v>20.5</v>
      </c>
      <c r="F24" s="76"/>
      <c r="G24" s="76"/>
      <c r="H24" s="76"/>
      <c r="I24" s="94"/>
      <c r="J24" s="78">
        <f t="shared" si="9"/>
        <v>480.13493253373309</v>
      </c>
      <c r="K24" s="78">
        <f t="shared" si="0"/>
        <v>0</v>
      </c>
      <c r="L24" s="78">
        <f t="shared" si="1"/>
        <v>0</v>
      </c>
      <c r="M24" s="78">
        <f t="shared" si="2"/>
        <v>0</v>
      </c>
      <c r="N24" s="78">
        <f t="shared" si="3"/>
        <v>0</v>
      </c>
      <c r="O24" s="79">
        <v>750</v>
      </c>
      <c r="P24" s="80">
        <v>10</v>
      </c>
      <c r="Q24" s="81">
        <v>24.5</v>
      </c>
      <c r="R24" s="89">
        <f t="shared" si="5"/>
        <v>480</v>
      </c>
      <c r="S24" s="90">
        <f t="shared" si="7"/>
        <v>480</v>
      </c>
      <c r="T24" s="91"/>
      <c r="U24" s="84">
        <f t="shared" si="11"/>
        <v>0.20499999999999999</v>
      </c>
      <c r="V24" s="84">
        <f t="shared" si="11"/>
        <v>0</v>
      </c>
      <c r="W24" s="84">
        <f t="shared" si="10"/>
        <v>0</v>
      </c>
      <c r="X24" s="85">
        <f t="shared" si="11"/>
        <v>0</v>
      </c>
      <c r="Y24" s="85">
        <f t="shared" si="11"/>
        <v>0</v>
      </c>
      <c r="Z24" s="92"/>
      <c r="AA24" s="87">
        <f t="shared" si="12"/>
        <v>0.1</v>
      </c>
      <c r="AB24" s="88">
        <f t="shared" si="12"/>
        <v>0.245</v>
      </c>
    </row>
    <row r="25" spans="2:28" ht="17.25" thickTop="1" thickBot="1" x14ac:dyDescent="0.3">
      <c r="B25" s="103">
        <v>8039823</v>
      </c>
      <c r="C25" s="104" t="s">
        <v>1337</v>
      </c>
      <c r="D25" s="75"/>
      <c r="E25" s="76">
        <v>27.1</v>
      </c>
      <c r="F25" s="76"/>
      <c r="G25" s="76"/>
      <c r="H25" s="76"/>
      <c r="I25" s="94"/>
      <c r="J25" s="78">
        <f t="shared" si="9"/>
        <v>735.58859223300976</v>
      </c>
      <c r="K25" s="78">
        <f t="shared" si="0"/>
        <v>0</v>
      </c>
      <c r="L25" s="78">
        <f t="shared" si="1"/>
        <v>0</v>
      </c>
      <c r="M25" s="78">
        <f t="shared" si="2"/>
        <v>0</v>
      </c>
      <c r="N25" s="78">
        <f t="shared" si="3"/>
        <v>0</v>
      </c>
      <c r="O25" s="79">
        <v>1000</v>
      </c>
      <c r="P25" s="80">
        <v>10.199999999999999</v>
      </c>
      <c r="Q25" s="81">
        <v>31</v>
      </c>
      <c r="R25" s="89">
        <f t="shared" si="5"/>
        <v>736</v>
      </c>
      <c r="S25" s="90">
        <f t="shared" si="7"/>
        <v>736</v>
      </c>
      <c r="T25" s="91"/>
      <c r="U25" s="84">
        <f>E25/100</f>
        <v>0.27100000000000002</v>
      </c>
      <c r="V25" s="84">
        <f>F25/100</f>
        <v>0</v>
      </c>
      <c r="W25" s="84">
        <f>G25/100</f>
        <v>0</v>
      </c>
      <c r="X25" s="85">
        <f t="shared" si="11"/>
        <v>0</v>
      </c>
      <c r="Y25" s="85">
        <f t="shared" si="11"/>
        <v>0</v>
      </c>
      <c r="Z25" s="92"/>
      <c r="AA25" s="87">
        <f t="shared" si="12"/>
        <v>0.10199999999999999</v>
      </c>
      <c r="AB25" s="88">
        <f t="shared" si="12"/>
        <v>0.31</v>
      </c>
    </row>
    <row r="26" spans="2:28" ht="17.25" thickTop="1" thickBot="1" x14ac:dyDescent="0.3">
      <c r="B26" s="103">
        <v>8039824</v>
      </c>
      <c r="C26" s="104" t="s">
        <v>1073</v>
      </c>
      <c r="D26" s="75"/>
      <c r="E26" s="76"/>
      <c r="F26" s="76"/>
      <c r="G26" s="76"/>
      <c r="H26" s="76"/>
      <c r="I26" s="94"/>
      <c r="J26" s="78">
        <f t="shared" si="9"/>
        <v>0</v>
      </c>
      <c r="K26" s="78">
        <f t="shared" si="0"/>
        <v>0</v>
      </c>
      <c r="L26" s="78">
        <f t="shared" si="1"/>
        <v>0</v>
      </c>
      <c r="M26" s="78">
        <f t="shared" si="2"/>
        <v>0</v>
      </c>
      <c r="N26" s="78">
        <f t="shared" si="3"/>
        <v>0</v>
      </c>
      <c r="O26" s="79">
        <v>1000</v>
      </c>
      <c r="P26" s="80">
        <v>10</v>
      </c>
      <c r="Q26" s="81">
        <v>31.4</v>
      </c>
      <c r="R26" s="89">
        <f t="shared" si="5"/>
        <v>0</v>
      </c>
      <c r="S26" s="90">
        <f t="shared" si="7"/>
        <v>0</v>
      </c>
      <c r="T26" s="91"/>
      <c r="U26" s="84">
        <f t="shared" si="11"/>
        <v>0</v>
      </c>
      <c r="V26" s="84">
        <f t="shared" si="11"/>
        <v>0</v>
      </c>
      <c r="W26" s="84">
        <f t="shared" si="10"/>
        <v>0</v>
      </c>
      <c r="X26" s="85">
        <f t="shared" si="11"/>
        <v>0</v>
      </c>
      <c r="Y26" s="85">
        <f t="shared" si="11"/>
        <v>0</v>
      </c>
      <c r="Z26" s="92"/>
      <c r="AA26" s="87">
        <f t="shared" si="12"/>
        <v>0.1</v>
      </c>
      <c r="AB26" s="88">
        <f t="shared" si="12"/>
        <v>0.314</v>
      </c>
    </row>
    <row r="27" spans="2:28" ht="17.25" thickTop="1" thickBot="1" x14ac:dyDescent="0.3">
      <c r="B27" s="66">
        <v>8028091</v>
      </c>
      <c r="C27" s="106" t="s">
        <v>1338</v>
      </c>
      <c r="D27" s="75"/>
      <c r="E27" s="76">
        <v>12.7</v>
      </c>
      <c r="F27" s="76"/>
      <c r="G27" s="76"/>
      <c r="H27" s="76"/>
      <c r="I27" s="94"/>
      <c r="J27" s="78">
        <f t="shared" si="9"/>
        <v>104.9197860962567</v>
      </c>
      <c r="K27" s="78">
        <f t="shared" si="0"/>
        <v>0</v>
      </c>
      <c r="L27" s="78">
        <f t="shared" si="1"/>
        <v>0</v>
      </c>
      <c r="M27" s="78">
        <f t="shared" si="2"/>
        <v>0</v>
      </c>
      <c r="N27" s="78">
        <f t="shared" si="3"/>
        <v>0</v>
      </c>
      <c r="O27" s="79">
        <v>800</v>
      </c>
      <c r="P27" s="80">
        <v>9.1</v>
      </c>
      <c r="Q27" s="81">
        <v>26.1</v>
      </c>
      <c r="R27" s="89">
        <f t="shared" si="5"/>
        <v>105</v>
      </c>
      <c r="S27" s="90">
        <f>+D27*O27+R27</f>
        <v>105</v>
      </c>
      <c r="T27" s="91"/>
      <c r="U27" s="84">
        <f t="shared" si="11"/>
        <v>0.127</v>
      </c>
      <c r="V27" s="84">
        <f t="shared" si="11"/>
        <v>0</v>
      </c>
      <c r="W27" s="84">
        <f t="shared" si="10"/>
        <v>0</v>
      </c>
      <c r="X27" s="85">
        <f t="shared" si="11"/>
        <v>0</v>
      </c>
      <c r="Y27" s="85">
        <f t="shared" si="11"/>
        <v>0</v>
      </c>
      <c r="Z27" s="92"/>
      <c r="AA27" s="87">
        <f t="shared" si="12"/>
        <v>9.0999999999999998E-2</v>
      </c>
      <c r="AB27" s="88">
        <f t="shared" si="12"/>
        <v>0.26100000000000001</v>
      </c>
    </row>
    <row r="28" spans="2:28" ht="17.25" thickTop="1" thickBot="1" x14ac:dyDescent="0.3">
      <c r="B28" s="66">
        <v>8028073</v>
      </c>
      <c r="C28" s="106" t="s">
        <v>1339</v>
      </c>
      <c r="D28" s="75"/>
      <c r="E28" s="76">
        <v>14.1</v>
      </c>
      <c r="F28" s="76"/>
      <c r="G28" s="76"/>
      <c r="H28" s="76"/>
      <c r="I28" s="94"/>
      <c r="J28" s="78">
        <f t="shared" si="9"/>
        <v>166.43184219795697</v>
      </c>
      <c r="K28" s="78">
        <f t="shared" si="0"/>
        <v>0</v>
      </c>
      <c r="L28" s="78">
        <f t="shared" si="1"/>
        <v>0</v>
      </c>
      <c r="M28" s="78">
        <f t="shared" si="2"/>
        <v>0</v>
      </c>
      <c r="N28" s="78">
        <f t="shared" si="3"/>
        <v>0</v>
      </c>
      <c r="O28" s="79">
        <v>750</v>
      </c>
      <c r="P28" s="80">
        <v>9.9</v>
      </c>
      <c r="Q28" s="81">
        <v>23.5</v>
      </c>
      <c r="R28" s="89">
        <f t="shared" si="5"/>
        <v>166</v>
      </c>
      <c r="S28" s="90">
        <f t="shared" si="7"/>
        <v>166</v>
      </c>
      <c r="T28" s="91"/>
      <c r="U28" s="84">
        <f t="shared" si="11"/>
        <v>0.14099999999999999</v>
      </c>
      <c r="V28" s="84">
        <f t="shared" si="11"/>
        <v>0</v>
      </c>
      <c r="W28" s="84">
        <f t="shared" si="10"/>
        <v>0</v>
      </c>
      <c r="X28" s="85">
        <f t="shared" si="11"/>
        <v>0</v>
      </c>
      <c r="Y28" s="85">
        <f t="shared" si="11"/>
        <v>0</v>
      </c>
      <c r="Z28" s="92"/>
      <c r="AA28" s="87">
        <f t="shared" si="12"/>
        <v>9.9000000000000005E-2</v>
      </c>
      <c r="AB28" s="88">
        <f t="shared" si="12"/>
        <v>0.23499999999999999</v>
      </c>
    </row>
    <row r="29" spans="2:28" ht="17.25" thickTop="1" thickBot="1" x14ac:dyDescent="0.3">
      <c r="B29" s="66">
        <v>8026628</v>
      </c>
      <c r="C29" s="106" t="s">
        <v>1340</v>
      </c>
      <c r="D29" s="75"/>
      <c r="E29" s="76">
        <v>20.399999999999999</v>
      </c>
      <c r="F29" s="76">
        <v>25.4</v>
      </c>
      <c r="G29" s="76"/>
      <c r="H29" s="76"/>
      <c r="I29" s="94"/>
      <c r="J29" s="78">
        <f t="shared" si="9"/>
        <v>494.22638773819381</v>
      </c>
      <c r="K29" s="78">
        <f t="shared" si="0"/>
        <v>849.96375310687654</v>
      </c>
      <c r="L29" s="78">
        <f t="shared" si="1"/>
        <v>0</v>
      </c>
      <c r="M29" s="78">
        <f t="shared" si="2"/>
        <v>0</v>
      </c>
      <c r="N29" s="78">
        <f t="shared" si="3"/>
        <v>0</v>
      </c>
      <c r="O29" s="79">
        <v>750</v>
      </c>
      <c r="P29" s="80">
        <v>9.9</v>
      </c>
      <c r="Q29" s="81">
        <v>24.1</v>
      </c>
      <c r="R29" s="89">
        <f t="shared" si="5"/>
        <v>1344</v>
      </c>
      <c r="S29" s="90">
        <f t="shared" si="7"/>
        <v>1344</v>
      </c>
      <c r="T29" s="91"/>
      <c r="U29" s="84">
        <f t="shared" si="11"/>
        <v>0.20399999999999999</v>
      </c>
      <c r="V29" s="84">
        <f t="shared" si="11"/>
        <v>0.254</v>
      </c>
      <c r="W29" s="84">
        <f t="shared" si="10"/>
        <v>0</v>
      </c>
      <c r="X29" s="85">
        <f t="shared" si="11"/>
        <v>0</v>
      </c>
      <c r="Y29" s="85">
        <f t="shared" si="11"/>
        <v>0</v>
      </c>
      <c r="Z29" s="92"/>
      <c r="AA29" s="87">
        <f t="shared" si="12"/>
        <v>9.9000000000000005E-2</v>
      </c>
      <c r="AB29" s="88">
        <f t="shared" si="12"/>
        <v>0.24100000000000002</v>
      </c>
    </row>
    <row r="30" spans="2:28" ht="17.25" thickTop="1" thickBot="1" x14ac:dyDescent="0.3">
      <c r="B30" s="66">
        <v>8028089</v>
      </c>
      <c r="C30" s="106" t="s">
        <v>940</v>
      </c>
      <c r="D30" s="75"/>
      <c r="E30" s="76">
        <v>19.600000000000001</v>
      </c>
      <c r="F30" s="76">
        <v>15</v>
      </c>
      <c r="G30" s="76">
        <v>15.8</v>
      </c>
      <c r="H30" s="76"/>
      <c r="I30" s="94"/>
      <c r="J30" s="78">
        <f t="shared" si="9"/>
        <v>426.02698650674671</v>
      </c>
      <c r="K30" s="78">
        <f t="shared" si="0"/>
        <v>187.40629685157418</v>
      </c>
      <c r="L30" s="78">
        <f t="shared" si="1"/>
        <v>224.34782608695653</v>
      </c>
      <c r="M30" s="78">
        <f t="shared" si="2"/>
        <v>0</v>
      </c>
      <c r="N30" s="78">
        <f t="shared" si="3"/>
        <v>0</v>
      </c>
      <c r="O30" s="79">
        <v>750</v>
      </c>
      <c r="P30" s="80">
        <v>10</v>
      </c>
      <c r="Q30" s="81">
        <v>24.5</v>
      </c>
      <c r="R30" s="89">
        <f t="shared" si="5"/>
        <v>838</v>
      </c>
      <c r="S30" s="90">
        <f t="shared" si="7"/>
        <v>838</v>
      </c>
      <c r="T30" s="91"/>
      <c r="U30" s="84">
        <f>E30/100</f>
        <v>0.19600000000000001</v>
      </c>
      <c r="V30" s="84">
        <f t="shared" si="11"/>
        <v>0.15</v>
      </c>
      <c r="W30" s="84">
        <f t="shared" si="10"/>
        <v>0.158</v>
      </c>
      <c r="X30" s="85">
        <f t="shared" si="11"/>
        <v>0</v>
      </c>
      <c r="Y30" s="85">
        <f t="shared" si="11"/>
        <v>0</v>
      </c>
      <c r="Z30" s="92"/>
      <c r="AA30" s="87">
        <f t="shared" si="12"/>
        <v>0.1</v>
      </c>
      <c r="AB30" s="88">
        <f t="shared" si="12"/>
        <v>0.245</v>
      </c>
    </row>
    <row r="31" spans="2:28" ht="17.25" thickTop="1" thickBot="1" x14ac:dyDescent="0.3">
      <c r="B31" s="66">
        <v>8046832</v>
      </c>
      <c r="C31" s="106" t="s">
        <v>1167</v>
      </c>
      <c r="D31" s="75">
        <v>1</v>
      </c>
      <c r="E31" s="76">
        <v>11.2</v>
      </c>
      <c r="F31" s="76"/>
      <c r="G31" s="76"/>
      <c r="H31" s="76"/>
      <c r="I31" s="94"/>
      <c r="J31" s="78">
        <f>IF(E31="",0,O31*((U31^2-AA31^2)/(AB31^2-AA31^2)))</f>
        <v>38.765714285714218</v>
      </c>
      <c r="K31" s="78">
        <f>IF(F31="",0,O31*((V31^2-AA31^2)/(AB31^2-AA31^2)))</f>
        <v>0</v>
      </c>
      <c r="L31" s="78">
        <f>IF(G31="",0,O31*((W31^2-AA31^2)/(AB31^2-AA31^2)))</f>
        <v>0</v>
      </c>
      <c r="M31" s="78">
        <f>IF(H31="",0,O31*((X31^2-AA31^2)/(AB31^2-AA31^2)))</f>
        <v>0</v>
      </c>
      <c r="N31" s="78">
        <f>IF(I31="",0,O31*((Y31^2-AA31^2)/(AB31^2-AA31^2)))</f>
        <v>0</v>
      </c>
      <c r="O31" s="79">
        <v>1000</v>
      </c>
      <c r="P31" s="80">
        <v>10</v>
      </c>
      <c r="Q31" s="81">
        <v>27.5</v>
      </c>
      <c r="R31" s="89">
        <f>ROUND(SUBTOTAL(9,J31:N31),0)</f>
        <v>39</v>
      </c>
      <c r="S31" s="90">
        <f>+D31*O31+R31</f>
        <v>1039</v>
      </c>
      <c r="T31" s="91"/>
      <c r="U31" s="84">
        <f>E31/100</f>
        <v>0.11199999999999999</v>
      </c>
      <c r="V31" s="84">
        <f>F31/100</f>
        <v>0</v>
      </c>
      <c r="W31" s="84">
        <f>G31/100</f>
        <v>0</v>
      </c>
      <c r="X31" s="85">
        <f>H31/100</f>
        <v>0</v>
      </c>
      <c r="Y31" s="85">
        <f>I31/100</f>
        <v>0</v>
      </c>
      <c r="Z31" s="92"/>
      <c r="AA31" s="87">
        <f>P31/100</f>
        <v>0.1</v>
      </c>
      <c r="AB31" s="88">
        <f>Q31/100</f>
        <v>0.27500000000000002</v>
      </c>
    </row>
    <row r="32" spans="2:28" ht="17.25" thickTop="1" thickBot="1" x14ac:dyDescent="0.3">
      <c r="B32" s="107">
        <v>8013461</v>
      </c>
      <c r="C32" s="108" t="s">
        <v>1341</v>
      </c>
      <c r="D32" s="75"/>
      <c r="E32" s="76"/>
      <c r="F32" s="76"/>
      <c r="G32" s="76"/>
      <c r="H32" s="76"/>
      <c r="I32" s="94"/>
      <c r="J32" s="78">
        <f t="shared" si="9"/>
        <v>0</v>
      </c>
      <c r="K32" s="78">
        <f t="shared" si="0"/>
        <v>0</v>
      </c>
      <c r="L32" s="78">
        <f t="shared" si="1"/>
        <v>0</v>
      </c>
      <c r="M32" s="78">
        <f t="shared" si="2"/>
        <v>0</v>
      </c>
      <c r="N32" s="78">
        <f t="shared" si="3"/>
        <v>0</v>
      </c>
      <c r="O32" s="79">
        <v>1050</v>
      </c>
      <c r="P32" s="80">
        <v>9</v>
      </c>
      <c r="Q32" s="81">
        <v>26.2</v>
      </c>
      <c r="R32" s="89">
        <f t="shared" si="5"/>
        <v>0</v>
      </c>
      <c r="S32" s="90">
        <f t="shared" si="7"/>
        <v>0</v>
      </c>
      <c r="T32" s="91"/>
      <c r="U32" s="84">
        <f t="shared" si="11"/>
        <v>0</v>
      </c>
      <c r="V32" s="84">
        <f t="shared" si="11"/>
        <v>0</v>
      </c>
      <c r="W32" s="84">
        <f t="shared" si="10"/>
        <v>0</v>
      </c>
      <c r="X32" s="85">
        <f t="shared" si="11"/>
        <v>0</v>
      </c>
      <c r="Y32" s="85">
        <f t="shared" si="11"/>
        <v>0</v>
      </c>
      <c r="Z32" s="92"/>
      <c r="AA32" s="87">
        <f t="shared" si="12"/>
        <v>0.09</v>
      </c>
      <c r="AB32" s="88">
        <f t="shared" si="12"/>
        <v>0.26200000000000001</v>
      </c>
    </row>
    <row r="33" spans="2:28" ht="17.25" thickTop="1" thickBot="1" x14ac:dyDescent="0.3">
      <c r="B33" s="107">
        <v>8048671</v>
      </c>
      <c r="C33" s="108" t="s">
        <v>1193</v>
      </c>
      <c r="D33" s="75"/>
      <c r="E33" s="76">
        <v>23.8</v>
      </c>
      <c r="F33" s="76"/>
      <c r="G33" s="76"/>
      <c r="H33" s="76"/>
      <c r="I33" s="94"/>
      <c r="J33" s="78">
        <f t="shared" si="9"/>
        <v>675.43630017452006</v>
      </c>
      <c r="K33" s="78">
        <f t="shared" si="0"/>
        <v>0</v>
      </c>
      <c r="L33" s="78">
        <f t="shared" si="1"/>
        <v>0</v>
      </c>
      <c r="M33" s="78">
        <f t="shared" si="2"/>
        <v>0</v>
      </c>
      <c r="N33" s="78">
        <f t="shared" si="3"/>
        <v>0</v>
      </c>
      <c r="O33" s="79">
        <v>1000</v>
      </c>
      <c r="P33" s="80">
        <v>10.1</v>
      </c>
      <c r="Q33" s="81">
        <v>28.1</v>
      </c>
      <c r="R33" s="89">
        <f t="shared" si="5"/>
        <v>675</v>
      </c>
      <c r="S33" s="90">
        <f t="shared" si="7"/>
        <v>675</v>
      </c>
      <c r="T33" s="91"/>
      <c r="U33" s="84">
        <f t="shared" si="11"/>
        <v>0.23800000000000002</v>
      </c>
      <c r="V33" s="84">
        <f t="shared" si="11"/>
        <v>0</v>
      </c>
      <c r="W33" s="84">
        <f t="shared" si="10"/>
        <v>0</v>
      </c>
      <c r="X33" s="85">
        <f t="shared" si="11"/>
        <v>0</v>
      </c>
      <c r="Y33" s="85">
        <f t="shared" si="11"/>
        <v>0</v>
      </c>
      <c r="Z33" s="92"/>
      <c r="AA33" s="87">
        <f t="shared" si="12"/>
        <v>0.10099999999999999</v>
      </c>
      <c r="AB33" s="88">
        <f t="shared" si="12"/>
        <v>0.28100000000000003</v>
      </c>
    </row>
    <row r="34" spans="2:28" ht="17.25" thickTop="1" thickBot="1" x14ac:dyDescent="0.3">
      <c r="B34" s="109">
        <v>8001056</v>
      </c>
      <c r="C34" s="110" t="s">
        <v>772</v>
      </c>
      <c r="D34" s="75"/>
      <c r="E34" s="76">
        <v>25.18</v>
      </c>
      <c r="F34" s="76"/>
      <c r="G34" s="76"/>
      <c r="H34" s="76"/>
      <c r="I34" s="94"/>
      <c r="J34" s="78">
        <f t="shared" si="9"/>
        <v>763.2437613961971</v>
      </c>
      <c r="K34" s="78">
        <f t="shared" si="0"/>
        <v>0</v>
      </c>
      <c r="L34" s="78">
        <f t="shared" si="1"/>
        <v>0</v>
      </c>
      <c r="M34" s="78">
        <f t="shared" si="2"/>
        <v>0</v>
      </c>
      <c r="N34" s="78">
        <f t="shared" si="3"/>
        <v>0</v>
      </c>
      <c r="O34" s="79">
        <v>800</v>
      </c>
      <c r="P34" s="80">
        <v>9.1999999999999993</v>
      </c>
      <c r="Q34" s="81">
        <v>25.7</v>
      </c>
      <c r="R34" s="89">
        <f t="shared" si="5"/>
        <v>763</v>
      </c>
      <c r="S34" s="90">
        <f t="shared" si="7"/>
        <v>763</v>
      </c>
      <c r="T34" s="91"/>
      <c r="U34" s="84">
        <f t="shared" si="11"/>
        <v>0.25180000000000002</v>
      </c>
      <c r="V34" s="84">
        <f t="shared" si="11"/>
        <v>0</v>
      </c>
      <c r="W34" s="84">
        <f t="shared" si="10"/>
        <v>0</v>
      </c>
      <c r="X34" s="85">
        <f t="shared" si="11"/>
        <v>0</v>
      </c>
      <c r="Y34" s="85">
        <f t="shared" si="11"/>
        <v>0</v>
      </c>
      <c r="Z34" s="92"/>
      <c r="AA34" s="87">
        <f>P34/100</f>
        <v>9.1999999999999998E-2</v>
      </c>
      <c r="AB34" s="88">
        <f t="shared" si="12"/>
        <v>0.25700000000000001</v>
      </c>
    </row>
    <row r="35" spans="2:28" ht="17.25" thickTop="1" thickBot="1" x14ac:dyDescent="0.3">
      <c r="B35" s="109">
        <v>8019356</v>
      </c>
      <c r="C35" s="110" t="s">
        <v>906</v>
      </c>
      <c r="D35" s="75">
        <v>4</v>
      </c>
      <c r="E35" s="76">
        <v>23</v>
      </c>
      <c r="F35" s="76"/>
      <c r="G35" s="76"/>
      <c r="H35" s="76"/>
      <c r="I35" s="94"/>
      <c r="J35" s="78">
        <f t="shared" si="9"/>
        <v>398.97970318638153</v>
      </c>
      <c r="K35" s="78">
        <f t="shared" si="0"/>
        <v>0</v>
      </c>
      <c r="L35" s="78">
        <f t="shared" si="1"/>
        <v>0</v>
      </c>
      <c r="M35" s="78">
        <f t="shared" si="2"/>
        <v>0</v>
      </c>
      <c r="N35" s="78">
        <f t="shared" si="3"/>
        <v>0</v>
      </c>
      <c r="O35" s="79">
        <v>500</v>
      </c>
      <c r="P35" s="80">
        <v>9.5</v>
      </c>
      <c r="Q35" s="81">
        <v>25.3</v>
      </c>
      <c r="R35" s="89">
        <f t="shared" si="5"/>
        <v>399</v>
      </c>
      <c r="S35" s="90">
        <f t="shared" si="7"/>
        <v>2399</v>
      </c>
      <c r="T35" s="91"/>
      <c r="U35" s="84">
        <f>E35/100</f>
        <v>0.23</v>
      </c>
      <c r="V35" s="84">
        <f t="shared" ref="V35:V36" si="13">F35/100</f>
        <v>0</v>
      </c>
      <c r="W35" s="84">
        <f t="shared" si="10"/>
        <v>0</v>
      </c>
      <c r="X35" s="85">
        <f t="shared" si="10"/>
        <v>0</v>
      </c>
      <c r="Y35" s="85">
        <f t="shared" si="10"/>
        <v>0</v>
      </c>
      <c r="Z35" s="92"/>
      <c r="AA35" s="87">
        <f t="shared" si="12"/>
        <v>9.5000000000000001E-2</v>
      </c>
      <c r="AB35" s="88">
        <f t="shared" si="12"/>
        <v>0.253</v>
      </c>
    </row>
    <row r="36" spans="2:28" ht="17.25" thickTop="1" thickBot="1" x14ac:dyDescent="0.3">
      <c r="B36" s="109">
        <v>8001093</v>
      </c>
      <c r="C36" s="110" t="s">
        <v>782</v>
      </c>
      <c r="D36" s="75">
        <v>2</v>
      </c>
      <c r="E36" s="76">
        <v>10.9</v>
      </c>
      <c r="F36" s="76"/>
      <c r="G36" s="76"/>
      <c r="H36" s="76"/>
      <c r="I36" s="94"/>
      <c r="J36" s="78">
        <f t="shared" si="9"/>
        <v>28.456029313790804</v>
      </c>
      <c r="K36" s="78">
        <f t="shared" si="0"/>
        <v>0</v>
      </c>
      <c r="L36" s="78">
        <f t="shared" si="1"/>
        <v>0</v>
      </c>
      <c r="M36" s="78">
        <f t="shared" si="2"/>
        <v>0</v>
      </c>
      <c r="N36" s="78">
        <f t="shared" si="3"/>
        <v>0</v>
      </c>
      <c r="O36" s="79">
        <v>450</v>
      </c>
      <c r="P36" s="80">
        <v>9.1999999999999993</v>
      </c>
      <c r="Q36" s="81">
        <v>25</v>
      </c>
      <c r="R36" s="89">
        <f t="shared" si="5"/>
        <v>28</v>
      </c>
      <c r="S36" s="90">
        <f t="shared" si="7"/>
        <v>928</v>
      </c>
      <c r="T36" s="91"/>
      <c r="U36" s="84">
        <f>E36/100</f>
        <v>0.109</v>
      </c>
      <c r="V36" s="84">
        <f t="shared" si="13"/>
        <v>0</v>
      </c>
      <c r="W36" s="84">
        <f t="shared" si="10"/>
        <v>0</v>
      </c>
      <c r="X36" s="85">
        <f t="shared" si="10"/>
        <v>0</v>
      </c>
      <c r="Y36" s="85">
        <f t="shared" si="10"/>
        <v>0</v>
      </c>
      <c r="Z36" s="92"/>
      <c r="AA36" s="87">
        <f t="shared" si="12"/>
        <v>9.1999999999999998E-2</v>
      </c>
      <c r="AB36" s="88">
        <f t="shared" si="12"/>
        <v>0.25</v>
      </c>
    </row>
    <row r="37" spans="2:28" ht="17.25" thickTop="1" thickBot="1" x14ac:dyDescent="0.3">
      <c r="B37" s="109">
        <v>8000842</v>
      </c>
      <c r="C37" s="110" t="s">
        <v>709</v>
      </c>
      <c r="D37" s="75">
        <v>8</v>
      </c>
      <c r="E37" s="76">
        <v>20.100000000000001</v>
      </c>
      <c r="F37" s="76"/>
      <c r="G37" s="76"/>
      <c r="H37" s="76"/>
      <c r="I37" s="94"/>
      <c r="J37" s="78">
        <f>IF(E37="",0,O37*((U37^2-AA37^2)/(AB37^2-AA37^2)))</f>
        <v>207.34428890241435</v>
      </c>
      <c r="K37" s="78">
        <f>IF(F37="",0,O37*((V37^2-AA37^2)/(AB37^2-AA37^2)))</f>
        <v>0</v>
      </c>
      <c r="L37" s="78">
        <f t="shared" si="1"/>
        <v>0</v>
      </c>
      <c r="M37" s="78">
        <f t="shared" si="2"/>
        <v>0</v>
      </c>
      <c r="N37" s="78">
        <f t="shared" si="3"/>
        <v>0</v>
      </c>
      <c r="O37" s="79">
        <v>350</v>
      </c>
      <c r="P37" s="80">
        <v>9.1</v>
      </c>
      <c r="Q37" s="81">
        <v>25</v>
      </c>
      <c r="R37" s="89">
        <f t="shared" si="5"/>
        <v>207</v>
      </c>
      <c r="S37" s="90">
        <f t="shared" si="7"/>
        <v>3007</v>
      </c>
      <c r="T37" s="91"/>
      <c r="U37" s="84">
        <f>E37/100</f>
        <v>0.20100000000000001</v>
      </c>
      <c r="V37" s="84">
        <f>F37/100</f>
        <v>0</v>
      </c>
      <c r="W37" s="84">
        <f t="shared" si="10"/>
        <v>0</v>
      </c>
      <c r="X37" s="85">
        <f t="shared" si="10"/>
        <v>0</v>
      </c>
      <c r="Y37" s="85">
        <f t="shared" si="10"/>
        <v>0</v>
      </c>
      <c r="Z37" s="92"/>
      <c r="AA37" s="87">
        <f t="shared" si="12"/>
        <v>9.0999999999999998E-2</v>
      </c>
      <c r="AB37" s="88">
        <f t="shared" si="12"/>
        <v>0.25</v>
      </c>
    </row>
    <row r="38" spans="2:28" ht="17.25" thickTop="1" thickBot="1" x14ac:dyDescent="0.3">
      <c r="B38" s="109">
        <v>8027318</v>
      </c>
      <c r="C38" s="110" t="s">
        <v>965</v>
      </c>
      <c r="D38" s="75">
        <v>2</v>
      </c>
      <c r="E38" s="76">
        <v>11.9</v>
      </c>
      <c r="F38" s="76">
        <v>22.8</v>
      </c>
      <c r="G38" s="76"/>
      <c r="H38" s="76"/>
      <c r="I38" s="94"/>
      <c r="J38" s="78">
        <f t="shared" si="9"/>
        <v>30.791568396226424</v>
      </c>
      <c r="K38" s="78">
        <f t="shared" si="0"/>
        <v>235.22012578616349</v>
      </c>
      <c r="L38" s="78">
        <f t="shared" si="1"/>
        <v>0</v>
      </c>
      <c r="M38" s="78">
        <f t="shared" si="2"/>
        <v>0</v>
      </c>
      <c r="N38" s="78">
        <f t="shared" si="3"/>
        <v>0</v>
      </c>
      <c r="O38" s="99">
        <v>550</v>
      </c>
      <c r="P38" s="80">
        <v>9.1999999999999993</v>
      </c>
      <c r="Q38" s="81">
        <v>33.200000000000003</v>
      </c>
      <c r="R38" s="89">
        <f t="shared" si="5"/>
        <v>266</v>
      </c>
      <c r="S38" s="90">
        <f t="shared" si="7"/>
        <v>1366</v>
      </c>
      <c r="T38" s="91"/>
      <c r="U38" s="84">
        <f t="shared" ref="U38:Y48" si="14">E38/100</f>
        <v>0.11900000000000001</v>
      </c>
      <c r="V38" s="84">
        <f t="shared" si="14"/>
        <v>0.22800000000000001</v>
      </c>
      <c r="W38" s="84">
        <f t="shared" si="14"/>
        <v>0</v>
      </c>
      <c r="X38" s="85">
        <f t="shared" si="14"/>
        <v>0</v>
      </c>
      <c r="Y38" s="85">
        <f t="shared" si="14"/>
        <v>0</v>
      </c>
      <c r="Z38" s="92"/>
      <c r="AA38" s="87">
        <f t="shared" si="12"/>
        <v>9.1999999999999998E-2</v>
      </c>
      <c r="AB38" s="88">
        <f t="shared" si="12"/>
        <v>0.33200000000000002</v>
      </c>
    </row>
    <row r="39" spans="2:28" ht="17.25" thickTop="1" thickBot="1" x14ac:dyDescent="0.3">
      <c r="B39" s="9">
        <v>8041350</v>
      </c>
      <c r="C39" s="111" t="s">
        <v>1095</v>
      </c>
      <c r="D39" s="75"/>
      <c r="E39" s="76">
        <v>23.3</v>
      </c>
      <c r="F39" s="76"/>
      <c r="G39" s="76"/>
      <c r="H39" s="76"/>
      <c r="I39" s="94"/>
      <c r="J39" s="78">
        <f t="shared" si="9"/>
        <v>513.25393776411829</v>
      </c>
      <c r="K39" s="78">
        <f t="shared" si="0"/>
        <v>0</v>
      </c>
      <c r="L39" s="78">
        <f t="shared" si="1"/>
        <v>0</v>
      </c>
      <c r="M39" s="78">
        <f t="shared" si="2"/>
        <v>0</v>
      </c>
      <c r="N39" s="78">
        <f t="shared" si="3"/>
        <v>0</v>
      </c>
      <c r="O39" s="79">
        <v>1000</v>
      </c>
      <c r="P39" s="80">
        <v>10.1</v>
      </c>
      <c r="Q39" s="81">
        <v>31</v>
      </c>
      <c r="R39" s="89">
        <f t="shared" si="5"/>
        <v>513</v>
      </c>
      <c r="S39" s="90">
        <f t="shared" si="7"/>
        <v>513</v>
      </c>
      <c r="T39" s="91"/>
      <c r="U39" s="84">
        <f t="shared" si="14"/>
        <v>0.23300000000000001</v>
      </c>
      <c r="V39" s="84">
        <f t="shared" si="14"/>
        <v>0</v>
      </c>
      <c r="W39" s="84">
        <f t="shared" si="14"/>
        <v>0</v>
      </c>
      <c r="X39" s="85">
        <f t="shared" si="14"/>
        <v>0</v>
      </c>
      <c r="Y39" s="85">
        <f t="shared" si="14"/>
        <v>0</v>
      </c>
      <c r="Z39" s="92"/>
      <c r="AA39" s="87">
        <f t="shared" si="12"/>
        <v>0.10099999999999999</v>
      </c>
      <c r="AB39" s="88">
        <f t="shared" si="12"/>
        <v>0.31</v>
      </c>
    </row>
    <row r="40" spans="2:28" ht="17.25" thickTop="1" thickBot="1" x14ac:dyDescent="0.3">
      <c r="B40" s="9">
        <v>8000827</v>
      </c>
      <c r="C40" s="111" t="s">
        <v>1342</v>
      </c>
      <c r="D40" s="75">
        <v>4</v>
      </c>
      <c r="E40" s="76"/>
      <c r="F40" s="76"/>
      <c r="G40" s="76"/>
      <c r="H40" s="76"/>
      <c r="I40" s="94"/>
      <c r="J40" s="78">
        <f t="shared" si="9"/>
        <v>0</v>
      </c>
      <c r="K40" s="78">
        <f t="shared" si="0"/>
        <v>0</v>
      </c>
      <c r="L40" s="78">
        <f t="shared" si="1"/>
        <v>0</v>
      </c>
      <c r="M40" s="78">
        <f t="shared" si="2"/>
        <v>0</v>
      </c>
      <c r="N40" s="78">
        <f t="shared" si="3"/>
        <v>0</v>
      </c>
      <c r="O40" s="79">
        <v>609</v>
      </c>
      <c r="P40" s="80">
        <v>10</v>
      </c>
      <c r="Q40" s="81">
        <v>28.5</v>
      </c>
      <c r="R40" s="89">
        <f t="shared" si="5"/>
        <v>0</v>
      </c>
      <c r="S40" s="90">
        <f t="shared" si="7"/>
        <v>2436</v>
      </c>
      <c r="T40" s="91"/>
      <c r="U40" s="84">
        <f t="shared" si="14"/>
        <v>0</v>
      </c>
      <c r="V40" s="84">
        <f t="shared" si="14"/>
        <v>0</v>
      </c>
      <c r="W40" s="84">
        <f t="shared" si="14"/>
        <v>0</v>
      </c>
      <c r="X40" s="85">
        <f t="shared" si="14"/>
        <v>0</v>
      </c>
      <c r="Y40" s="85">
        <f t="shared" si="14"/>
        <v>0</v>
      </c>
      <c r="Z40" s="92"/>
      <c r="AA40" s="87">
        <f t="shared" si="12"/>
        <v>0.1</v>
      </c>
      <c r="AB40" s="88">
        <f t="shared" si="12"/>
        <v>0.28499999999999998</v>
      </c>
    </row>
    <row r="41" spans="2:28" ht="17.25" thickTop="1" thickBot="1" x14ac:dyDescent="0.3">
      <c r="B41" s="9">
        <v>8001054</v>
      </c>
      <c r="C41" s="111" t="s">
        <v>1323</v>
      </c>
      <c r="D41" s="75">
        <v>1</v>
      </c>
      <c r="E41" s="76">
        <v>23.4</v>
      </c>
      <c r="F41" s="76">
        <v>25.4</v>
      </c>
      <c r="G41" s="76"/>
      <c r="H41" s="76"/>
      <c r="I41" s="94"/>
      <c r="J41" s="78">
        <f t="shared" si="9"/>
        <v>274.22807017543852</v>
      </c>
      <c r="K41" s="78">
        <f t="shared" si="0"/>
        <v>334.57407407407408</v>
      </c>
      <c r="L41" s="78">
        <f t="shared" si="1"/>
        <v>0</v>
      </c>
      <c r="M41" s="78">
        <f t="shared" si="2"/>
        <v>0</v>
      </c>
      <c r="N41" s="78">
        <f t="shared" si="3"/>
        <v>0</v>
      </c>
      <c r="O41" s="99">
        <v>609</v>
      </c>
      <c r="P41" s="80">
        <v>10.199999999999999</v>
      </c>
      <c r="Q41" s="81">
        <v>33</v>
      </c>
      <c r="R41" s="89">
        <f t="shared" si="5"/>
        <v>609</v>
      </c>
      <c r="S41" s="90">
        <f t="shared" si="7"/>
        <v>1218</v>
      </c>
      <c r="T41" s="91"/>
      <c r="U41" s="84">
        <f t="shared" si="14"/>
        <v>0.23399999999999999</v>
      </c>
      <c r="V41" s="84">
        <f t="shared" si="14"/>
        <v>0.254</v>
      </c>
      <c r="W41" s="84">
        <f t="shared" si="14"/>
        <v>0</v>
      </c>
      <c r="X41" s="85">
        <f t="shared" si="14"/>
        <v>0</v>
      </c>
      <c r="Y41" s="85">
        <f t="shared" si="14"/>
        <v>0</v>
      </c>
      <c r="Z41" s="92"/>
      <c r="AA41" s="87">
        <f t="shared" si="12"/>
        <v>0.10199999999999999</v>
      </c>
      <c r="AB41" s="88">
        <f t="shared" si="12"/>
        <v>0.33</v>
      </c>
    </row>
    <row r="42" spans="2:28" ht="17.25" thickTop="1" thickBot="1" x14ac:dyDescent="0.3">
      <c r="B42" s="9">
        <v>8039553</v>
      </c>
      <c r="C42" s="111" t="s">
        <v>1068</v>
      </c>
      <c r="D42" s="75">
        <v>5</v>
      </c>
      <c r="E42" s="75">
        <v>21</v>
      </c>
      <c r="F42" s="76"/>
      <c r="G42" s="76"/>
      <c r="H42" s="76"/>
      <c r="I42" s="94"/>
      <c r="J42" s="78">
        <f t="shared" si="9"/>
        <v>172.79396575762644</v>
      </c>
      <c r="K42" s="78">
        <f t="shared" si="0"/>
        <v>0</v>
      </c>
      <c r="L42" s="78">
        <f t="shared" si="1"/>
        <v>0</v>
      </c>
      <c r="M42" s="78">
        <f t="shared" si="2"/>
        <v>0</v>
      </c>
      <c r="N42" s="78">
        <f t="shared" si="3"/>
        <v>0</v>
      </c>
      <c r="O42" s="79">
        <v>457</v>
      </c>
      <c r="P42" s="80">
        <v>10.1</v>
      </c>
      <c r="Q42" s="81">
        <v>31.6</v>
      </c>
      <c r="R42" s="89">
        <f t="shared" si="5"/>
        <v>173</v>
      </c>
      <c r="S42" s="90">
        <f t="shared" si="7"/>
        <v>2458</v>
      </c>
      <c r="T42" s="91"/>
      <c r="U42" s="84">
        <f t="shared" si="14"/>
        <v>0.21</v>
      </c>
      <c r="V42" s="84">
        <f t="shared" si="14"/>
        <v>0</v>
      </c>
      <c r="W42" s="84">
        <f t="shared" si="14"/>
        <v>0</v>
      </c>
      <c r="X42" s="85">
        <f t="shared" si="14"/>
        <v>0</v>
      </c>
      <c r="Y42" s="85">
        <f t="shared" si="14"/>
        <v>0</v>
      </c>
      <c r="Z42" s="92"/>
      <c r="AA42" s="87">
        <f t="shared" si="12"/>
        <v>0.10099999999999999</v>
      </c>
      <c r="AB42" s="88">
        <f t="shared" si="12"/>
        <v>0.316</v>
      </c>
    </row>
    <row r="43" spans="2:28" ht="17.25" thickTop="1" thickBot="1" x14ac:dyDescent="0.3">
      <c r="B43" s="11">
        <v>8028081</v>
      </c>
      <c r="C43" s="112" t="s">
        <v>1343</v>
      </c>
      <c r="D43" s="75"/>
      <c r="E43" s="76">
        <v>23.4</v>
      </c>
      <c r="F43" s="76"/>
      <c r="G43" s="76"/>
      <c r="H43" s="76"/>
      <c r="I43" s="94"/>
      <c r="J43" s="78">
        <f t="shared" si="9"/>
        <v>627.30756302520979</v>
      </c>
      <c r="K43" s="78">
        <f t="shared" si="0"/>
        <v>0</v>
      </c>
      <c r="L43" s="78">
        <f t="shared" si="1"/>
        <v>0</v>
      </c>
      <c r="M43" s="78">
        <f t="shared" si="2"/>
        <v>0</v>
      </c>
      <c r="N43" s="78">
        <f t="shared" si="3"/>
        <v>0</v>
      </c>
      <c r="O43" s="99">
        <v>800</v>
      </c>
      <c r="P43" s="80">
        <v>9</v>
      </c>
      <c r="Q43" s="81">
        <v>26</v>
      </c>
      <c r="R43" s="89">
        <f t="shared" si="5"/>
        <v>627</v>
      </c>
      <c r="S43" s="90">
        <f t="shared" si="7"/>
        <v>627</v>
      </c>
      <c r="T43" s="91"/>
      <c r="U43" s="84">
        <f t="shared" si="14"/>
        <v>0.23399999999999999</v>
      </c>
      <c r="V43" s="84">
        <f t="shared" si="14"/>
        <v>0</v>
      </c>
      <c r="W43" s="84">
        <f t="shared" si="14"/>
        <v>0</v>
      </c>
      <c r="X43" s="85">
        <f t="shared" si="14"/>
        <v>0</v>
      </c>
      <c r="Y43" s="85">
        <f t="shared" si="14"/>
        <v>0</v>
      </c>
      <c r="Z43" s="92"/>
      <c r="AA43" s="87">
        <f t="shared" si="12"/>
        <v>0.09</v>
      </c>
      <c r="AB43" s="88">
        <f t="shared" si="12"/>
        <v>0.26</v>
      </c>
    </row>
    <row r="44" spans="2:28" ht="17.25" thickTop="1" thickBot="1" x14ac:dyDescent="0.3">
      <c r="B44" s="11">
        <v>8028086</v>
      </c>
      <c r="C44" s="112" t="s">
        <v>1344</v>
      </c>
      <c r="D44" s="75">
        <v>1</v>
      </c>
      <c r="E44" s="76">
        <v>11</v>
      </c>
      <c r="F44" s="76"/>
      <c r="G44" s="76"/>
      <c r="H44" s="76"/>
      <c r="I44" s="94"/>
      <c r="J44" s="78">
        <f t="shared" si="9"/>
        <v>49.188311688311686</v>
      </c>
      <c r="K44" s="78">
        <f t="shared" si="0"/>
        <v>0</v>
      </c>
      <c r="L44" s="78">
        <f t="shared" si="1"/>
        <v>0</v>
      </c>
      <c r="M44" s="78">
        <f t="shared" si="2"/>
        <v>0</v>
      </c>
      <c r="N44" s="78">
        <f t="shared" si="3"/>
        <v>0</v>
      </c>
      <c r="O44" s="79">
        <v>800</v>
      </c>
      <c r="P44" s="80">
        <v>9.1999999999999993</v>
      </c>
      <c r="Q44" s="81">
        <v>26</v>
      </c>
      <c r="R44" s="89">
        <f t="shared" si="5"/>
        <v>49</v>
      </c>
      <c r="S44" s="90">
        <f t="shared" si="7"/>
        <v>849</v>
      </c>
      <c r="T44" s="91"/>
      <c r="U44" s="84">
        <f t="shared" si="14"/>
        <v>0.11</v>
      </c>
      <c r="V44" s="84">
        <f t="shared" si="14"/>
        <v>0</v>
      </c>
      <c r="W44" s="84">
        <f t="shared" si="14"/>
        <v>0</v>
      </c>
      <c r="X44" s="85">
        <f t="shared" si="14"/>
        <v>0</v>
      </c>
      <c r="Y44" s="85">
        <f t="shared" si="14"/>
        <v>0</v>
      </c>
      <c r="Z44" s="92"/>
      <c r="AA44" s="87">
        <f t="shared" si="12"/>
        <v>9.1999999999999998E-2</v>
      </c>
      <c r="AB44" s="87">
        <f t="shared" si="12"/>
        <v>0.26</v>
      </c>
    </row>
    <row r="45" spans="2:28" ht="17.25" thickTop="1" thickBot="1" x14ac:dyDescent="0.3">
      <c r="B45" s="11">
        <v>8028929</v>
      </c>
      <c r="C45" s="112" t="s">
        <v>1345</v>
      </c>
      <c r="D45" s="75"/>
      <c r="E45" s="76">
        <v>23.2</v>
      </c>
      <c r="F45" s="76">
        <v>11.7</v>
      </c>
      <c r="G45" s="76"/>
      <c r="H45" s="76"/>
      <c r="I45" s="113"/>
      <c r="J45" s="114">
        <f t="shared" si="9"/>
        <v>626.52517125562144</v>
      </c>
      <c r="K45" s="114">
        <f t="shared" si="0"/>
        <v>55.33311827548907</v>
      </c>
      <c r="L45" s="114">
        <f t="shared" si="1"/>
        <v>0</v>
      </c>
      <c r="M45" s="114">
        <f t="shared" si="2"/>
        <v>0</v>
      </c>
      <c r="N45" s="114">
        <f t="shared" si="3"/>
        <v>0</v>
      </c>
      <c r="O45" s="79">
        <v>750</v>
      </c>
      <c r="P45" s="80">
        <v>9.9</v>
      </c>
      <c r="Q45" s="81">
        <v>25</v>
      </c>
      <c r="R45" s="89">
        <f t="shared" si="5"/>
        <v>682</v>
      </c>
      <c r="S45" s="90">
        <f t="shared" si="7"/>
        <v>682</v>
      </c>
      <c r="T45" s="91"/>
      <c r="U45" s="84">
        <f t="shared" si="14"/>
        <v>0.23199999999999998</v>
      </c>
      <c r="V45" s="84">
        <f t="shared" si="14"/>
        <v>0.11699999999999999</v>
      </c>
      <c r="W45" s="84">
        <f t="shared" si="14"/>
        <v>0</v>
      </c>
      <c r="X45" s="85">
        <f t="shared" si="14"/>
        <v>0</v>
      </c>
      <c r="Y45" s="85">
        <f t="shared" si="14"/>
        <v>0</v>
      </c>
      <c r="Z45" s="92"/>
      <c r="AA45" s="87">
        <f t="shared" si="12"/>
        <v>9.9000000000000005E-2</v>
      </c>
      <c r="AB45" s="87">
        <f t="shared" si="12"/>
        <v>0.25</v>
      </c>
    </row>
    <row r="46" spans="2:28" ht="17.25" thickTop="1" thickBot="1" x14ac:dyDescent="0.3">
      <c r="B46" s="11">
        <v>8028085</v>
      </c>
      <c r="C46" s="112" t="s">
        <v>1346</v>
      </c>
      <c r="D46" s="75"/>
      <c r="E46" s="76">
        <v>21.4</v>
      </c>
      <c r="F46" s="76"/>
      <c r="G46" s="76"/>
      <c r="H46" s="76"/>
      <c r="I46" s="94"/>
      <c r="J46" s="78">
        <f t="shared" si="9"/>
        <v>505.94244677084896</v>
      </c>
      <c r="K46" s="78">
        <f t="shared" si="0"/>
        <v>0</v>
      </c>
      <c r="L46" s="78">
        <f t="shared" si="1"/>
        <v>0</v>
      </c>
      <c r="M46" s="78">
        <f t="shared" si="2"/>
        <v>0</v>
      </c>
      <c r="N46" s="78">
        <f t="shared" si="3"/>
        <v>0</v>
      </c>
      <c r="O46" s="79">
        <v>800</v>
      </c>
      <c r="P46" s="80">
        <v>9.1</v>
      </c>
      <c r="Q46" s="81">
        <v>26</v>
      </c>
      <c r="R46" s="89">
        <f t="shared" si="5"/>
        <v>506</v>
      </c>
      <c r="S46" s="90">
        <f t="shared" si="7"/>
        <v>506</v>
      </c>
      <c r="T46" s="91"/>
      <c r="U46" s="84">
        <f t="shared" si="14"/>
        <v>0.214</v>
      </c>
      <c r="V46" s="84">
        <f t="shared" si="14"/>
        <v>0</v>
      </c>
      <c r="W46" s="84">
        <f t="shared" si="14"/>
        <v>0</v>
      </c>
      <c r="X46" s="85">
        <f t="shared" si="14"/>
        <v>0</v>
      </c>
      <c r="Y46" s="85">
        <f t="shared" si="14"/>
        <v>0</v>
      </c>
      <c r="Z46" s="92"/>
      <c r="AA46" s="87">
        <f t="shared" si="12"/>
        <v>9.0999999999999998E-2</v>
      </c>
      <c r="AB46" s="87">
        <f t="shared" si="12"/>
        <v>0.26</v>
      </c>
    </row>
    <row r="47" spans="2:28" ht="17.25" thickTop="1" thickBot="1" x14ac:dyDescent="0.3">
      <c r="B47" s="11">
        <v>8028082</v>
      </c>
      <c r="C47" s="112" t="s">
        <v>1347</v>
      </c>
      <c r="D47" s="75">
        <v>1</v>
      </c>
      <c r="E47" s="76">
        <v>18.899999999999999</v>
      </c>
      <c r="F47" s="76"/>
      <c r="G47" s="76"/>
      <c r="H47" s="76"/>
      <c r="I47" s="113"/>
      <c r="J47" s="114">
        <f t="shared" si="9"/>
        <v>365.51620094875693</v>
      </c>
      <c r="K47" s="114">
        <f t="shared" si="0"/>
        <v>0</v>
      </c>
      <c r="L47" s="114">
        <f t="shared" si="1"/>
        <v>0</v>
      </c>
      <c r="M47" s="114">
        <f t="shared" si="2"/>
        <v>0</v>
      </c>
      <c r="N47" s="114">
        <f t="shared" si="3"/>
        <v>0</v>
      </c>
      <c r="O47" s="79">
        <v>800</v>
      </c>
      <c r="P47" s="80">
        <v>9.1999999999999993</v>
      </c>
      <c r="Q47" s="81">
        <v>26.1</v>
      </c>
      <c r="R47" s="89">
        <f t="shared" si="5"/>
        <v>366</v>
      </c>
      <c r="S47" s="90">
        <f t="shared" si="7"/>
        <v>1166</v>
      </c>
      <c r="T47" s="91"/>
      <c r="U47" s="84">
        <f t="shared" si="14"/>
        <v>0.18899999999999997</v>
      </c>
      <c r="V47" s="84">
        <f t="shared" si="14"/>
        <v>0</v>
      </c>
      <c r="W47" s="84">
        <f t="shared" si="14"/>
        <v>0</v>
      </c>
      <c r="X47" s="85">
        <f t="shared" si="14"/>
        <v>0</v>
      </c>
      <c r="Y47" s="85">
        <f t="shared" si="14"/>
        <v>0</v>
      </c>
      <c r="Z47" s="92"/>
      <c r="AA47" s="87">
        <f t="shared" si="12"/>
        <v>9.1999999999999998E-2</v>
      </c>
      <c r="AB47" s="87">
        <f t="shared" si="12"/>
        <v>0.26100000000000001</v>
      </c>
    </row>
    <row r="48" spans="2:28" ht="17.25" thickTop="1" thickBot="1" x14ac:dyDescent="0.3">
      <c r="B48" s="11">
        <v>8028084</v>
      </c>
      <c r="C48" s="112" t="s">
        <v>926</v>
      </c>
      <c r="D48" s="75"/>
      <c r="E48" s="76">
        <v>21</v>
      </c>
      <c r="F48" s="76">
        <v>17.5</v>
      </c>
      <c r="G48" s="76"/>
      <c r="H48" s="76"/>
      <c r="I48" s="94"/>
      <c r="J48" s="78">
        <f t="shared" si="9"/>
        <v>482.08874458874442</v>
      </c>
      <c r="K48" s="78">
        <f t="shared" si="0"/>
        <v>299.79707792207779</v>
      </c>
      <c r="L48" s="78">
        <f t="shared" si="1"/>
        <v>0</v>
      </c>
      <c r="M48" s="78">
        <f t="shared" si="2"/>
        <v>0</v>
      </c>
      <c r="N48" s="78">
        <f t="shared" si="3"/>
        <v>0</v>
      </c>
      <c r="O48" s="79">
        <v>800</v>
      </c>
      <c r="P48" s="80">
        <v>9.1999999999999993</v>
      </c>
      <c r="Q48" s="81">
        <v>26</v>
      </c>
      <c r="R48" s="89">
        <f t="shared" si="5"/>
        <v>782</v>
      </c>
      <c r="S48" s="90">
        <f t="shared" si="7"/>
        <v>782</v>
      </c>
      <c r="T48" s="91"/>
      <c r="U48" s="84">
        <f t="shared" si="14"/>
        <v>0.21</v>
      </c>
      <c r="V48" s="84">
        <f t="shared" si="14"/>
        <v>0.17499999999999999</v>
      </c>
      <c r="W48" s="84">
        <f t="shared" si="14"/>
        <v>0</v>
      </c>
      <c r="X48" s="85">
        <f t="shared" si="14"/>
        <v>0</v>
      </c>
      <c r="Y48" s="85">
        <f t="shared" si="14"/>
        <v>0</v>
      </c>
      <c r="Z48" s="92"/>
      <c r="AA48" s="87">
        <f t="shared" ref="AA48:AB59" si="15">P48/100</f>
        <v>9.1999999999999998E-2</v>
      </c>
      <c r="AB48" s="87">
        <f t="shared" si="15"/>
        <v>0.26</v>
      </c>
    </row>
    <row r="49" spans="2:28" ht="17.25" thickTop="1" thickBot="1" x14ac:dyDescent="0.3">
      <c r="B49" s="11">
        <v>8029499</v>
      </c>
      <c r="C49" s="112" t="s">
        <v>1348</v>
      </c>
      <c r="D49" s="75">
        <v>1</v>
      </c>
      <c r="E49" s="76">
        <v>18.2</v>
      </c>
      <c r="F49" s="76"/>
      <c r="G49" s="76"/>
      <c r="H49" s="76"/>
      <c r="I49" s="94"/>
      <c r="J49" s="78">
        <f t="shared" si="9"/>
        <v>333.60389610389609</v>
      </c>
      <c r="K49" s="78">
        <f t="shared" si="0"/>
        <v>0</v>
      </c>
      <c r="L49" s="78">
        <f t="shared" si="1"/>
        <v>0</v>
      </c>
      <c r="M49" s="78">
        <f t="shared" si="2"/>
        <v>0</v>
      </c>
      <c r="N49" s="78">
        <f t="shared" si="3"/>
        <v>0</v>
      </c>
      <c r="O49" s="79">
        <v>800</v>
      </c>
      <c r="P49" s="80">
        <v>9.1999999999999993</v>
      </c>
      <c r="Q49" s="81">
        <v>26</v>
      </c>
      <c r="R49" s="89">
        <f t="shared" si="5"/>
        <v>334</v>
      </c>
      <c r="S49" s="90">
        <f t="shared" si="7"/>
        <v>1134</v>
      </c>
      <c r="T49" s="91"/>
      <c r="U49" s="84">
        <f t="shared" ref="U49:Y57" si="16">E49/100</f>
        <v>0.182</v>
      </c>
      <c r="V49" s="84">
        <f t="shared" si="16"/>
        <v>0</v>
      </c>
      <c r="W49" s="84">
        <f t="shared" si="16"/>
        <v>0</v>
      </c>
      <c r="X49" s="85">
        <f t="shared" si="16"/>
        <v>0</v>
      </c>
      <c r="Y49" s="85">
        <f t="shared" si="16"/>
        <v>0</v>
      </c>
      <c r="Z49" s="92"/>
      <c r="AA49" s="87">
        <f t="shared" si="15"/>
        <v>9.1999999999999998E-2</v>
      </c>
      <c r="AB49" s="87">
        <f t="shared" si="15"/>
        <v>0.26</v>
      </c>
    </row>
    <row r="50" spans="2:28" ht="17.25" thickTop="1" thickBot="1" x14ac:dyDescent="0.3">
      <c r="B50" s="11">
        <v>8028078</v>
      </c>
      <c r="C50" s="112" t="s">
        <v>1349</v>
      </c>
      <c r="D50" s="75"/>
      <c r="E50" s="76">
        <v>25.3</v>
      </c>
      <c r="F50" s="76"/>
      <c r="G50" s="76"/>
      <c r="H50" s="76"/>
      <c r="I50" s="94"/>
      <c r="J50" s="78">
        <f t="shared" si="9"/>
        <v>751.42045454545439</v>
      </c>
      <c r="K50" s="78">
        <f t="shared" ref="K50:K70" si="17">IF(F50="",0,O50*((V50^2-AA50^2)/(AB50^2-AA50^2)))</f>
        <v>0</v>
      </c>
      <c r="L50" s="78">
        <f t="shared" ref="L50:L70" si="18">IF(G50="",0,O50*((W50^2-AA50^2)/(AB50^2-AA50^2)))</f>
        <v>0</v>
      </c>
      <c r="M50" s="78">
        <f t="shared" ref="M50:M70" si="19">IF(H50="",0,O50*((X50^2-AA50^2)/(AB50^2-AA50^2)))</f>
        <v>0</v>
      </c>
      <c r="N50" s="78">
        <f t="shared" ref="N50:N70" si="20">IF(I50="",0,O50*((Y50^2-AA50^2)/(AB50^2-AA50^2)))</f>
        <v>0</v>
      </c>
      <c r="O50" s="79">
        <v>800</v>
      </c>
      <c r="P50" s="80">
        <v>9.1999999999999993</v>
      </c>
      <c r="Q50" s="81">
        <v>26</v>
      </c>
      <c r="R50" s="89">
        <f t="shared" si="5"/>
        <v>751</v>
      </c>
      <c r="S50" s="90">
        <f t="shared" si="7"/>
        <v>751</v>
      </c>
      <c r="T50" s="91"/>
      <c r="U50" s="84">
        <f t="shared" si="16"/>
        <v>0.253</v>
      </c>
      <c r="V50" s="84">
        <f t="shared" si="16"/>
        <v>0</v>
      </c>
      <c r="W50" s="84">
        <f t="shared" si="16"/>
        <v>0</v>
      </c>
      <c r="X50" s="85">
        <f t="shared" si="16"/>
        <v>0</v>
      </c>
      <c r="Y50" s="85">
        <f t="shared" si="16"/>
        <v>0</v>
      </c>
      <c r="Z50" s="92"/>
      <c r="AA50" s="87">
        <f t="shared" si="15"/>
        <v>9.1999999999999998E-2</v>
      </c>
      <c r="AB50" s="87">
        <f t="shared" si="15"/>
        <v>0.26</v>
      </c>
    </row>
    <row r="51" spans="2:28" ht="17.25" thickTop="1" thickBot="1" x14ac:dyDescent="0.3">
      <c r="B51" s="11">
        <v>8028079</v>
      </c>
      <c r="C51" s="112" t="s">
        <v>908</v>
      </c>
      <c r="D51" s="75">
        <v>1</v>
      </c>
      <c r="E51" s="76">
        <v>14.8</v>
      </c>
      <c r="F51" s="76">
        <v>19.399999999999999</v>
      </c>
      <c r="G51" s="76"/>
      <c r="H51" s="76"/>
      <c r="I51" s="94"/>
      <c r="J51" s="78">
        <f>IF(E51="",0,O51*((U51^2-AA51^2)/(AB51^2-AA51^2)))</f>
        <v>182.44384759249263</v>
      </c>
      <c r="K51" s="78">
        <f t="shared" si="17"/>
        <v>393.13214020976409</v>
      </c>
      <c r="L51" s="78">
        <f t="shared" si="18"/>
        <v>0</v>
      </c>
      <c r="M51" s="78">
        <f t="shared" si="19"/>
        <v>0</v>
      </c>
      <c r="N51" s="78">
        <f t="shared" si="20"/>
        <v>0</v>
      </c>
      <c r="O51" s="79">
        <v>800</v>
      </c>
      <c r="P51" s="80">
        <v>9.1</v>
      </c>
      <c r="Q51" s="81">
        <v>26.08</v>
      </c>
      <c r="R51" s="89">
        <f t="shared" si="5"/>
        <v>576</v>
      </c>
      <c r="S51" s="90">
        <f t="shared" si="7"/>
        <v>1376</v>
      </c>
      <c r="T51" s="91"/>
      <c r="U51" s="84">
        <f t="shared" si="16"/>
        <v>0.14800000000000002</v>
      </c>
      <c r="V51" s="84">
        <f t="shared" si="16"/>
        <v>0.19399999999999998</v>
      </c>
      <c r="W51" s="84">
        <f t="shared" si="16"/>
        <v>0</v>
      </c>
      <c r="X51" s="85">
        <f t="shared" si="16"/>
        <v>0</v>
      </c>
      <c r="Y51" s="85">
        <f t="shared" si="16"/>
        <v>0</v>
      </c>
      <c r="Z51" s="92"/>
      <c r="AA51" s="87">
        <f t="shared" si="15"/>
        <v>9.0999999999999998E-2</v>
      </c>
      <c r="AB51" s="87">
        <f t="shared" si="15"/>
        <v>0.26079999999999998</v>
      </c>
    </row>
    <row r="52" spans="2:28" ht="17.25" thickTop="1" thickBot="1" x14ac:dyDescent="0.3">
      <c r="B52" s="11">
        <v>8040549</v>
      </c>
      <c r="C52" s="112" t="s">
        <v>929</v>
      </c>
      <c r="D52" s="75"/>
      <c r="E52" s="76">
        <v>24.6</v>
      </c>
      <c r="F52" s="76">
        <v>16.100000000000001</v>
      </c>
      <c r="G52" s="76"/>
      <c r="H52" s="76"/>
      <c r="I52" s="94"/>
      <c r="J52" s="78">
        <f t="shared" ref="J52:J70" si="21">IF(E52="",0,O52*((U52^2-AA52^2)/(AB52^2-AA52^2)))</f>
        <v>585.74605059430269</v>
      </c>
      <c r="K52" s="78">
        <f t="shared" si="17"/>
        <v>183.00562288268785</v>
      </c>
      <c r="L52" s="78">
        <f t="shared" si="18"/>
        <v>0</v>
      </c>
      <c r="M52" s="78">
        <f t="shared" si="19"/>
        <v>0</v>
      </c>
      <c r="N52" s="78">
        <f t="shared" si="20"/>
        <v>0</v>
      </c>
      <c r="O52" s="79">
        <v>1000</v>
      </c>
      <c r="P52" s="80">
        <v>10.1</v>
      </c>
      <c r="Q52" s="81">
        <v>31</v>
      </c>
      <c r="R52" s="89">
        <f t="shared" ref="R52:R70" si="22">ROUND(SUBTOTAL(9,J52:N52),0)</f>
        <v>769</v>
      </c>
      <c r="S52" s="90">
        <f t="shared" si="7"/>
        <v>769</v>
      </c>
      <c r="T52" s="91"/>
      <c r="U52" s="84">
        <f t="shared" si="16"/>
        <v>0.24600000000000002</v>
      </c>
      <c r="V52" s="84">
        <f t="shared" si="16"/>
        <v>0.161</v>
      </c>
      <c r="W52" s="84">
        <f t="shared" si="16"/>
        <v>0</v>
      </c>
      <c r="X52" s="85">
        <f t="shared" si="16"/>
        <v>0</v>
      </c>
      <c r="Y52" s="85">
        <f t="shared" si="16"/>
        <v>0</v>
      </c>
      <c r="Z52" s="92"/>
      <c r="AA52" s="87">
        <f t="shared" si="15"/>
        <v>0.10099999999999999</v>
      </c>
      <c r="AB52" s="87">
        <f t="shared" si="15"/>
        <v>0.31</v>
      </c>
    </row>
    <row r="53" spans="2:28" ht="17.25" thickTop="1" thickBot="1" x14ac:dyDescent="0.3">
      <c r="B53" s="11">
        <v>8028088</v>
      </c>
      <c r="C53" s="112" t="s">
        <v>930</v>
      </c>
      <c r="D53" s="75">
        <v>1</v>
      </c>
      <c r="E53" s="76">
        <v>11.1</v>
      </c>
      <c r="F53" s="76"/>
      <c r="G53" s="76"/>
      <c r="H53" s="76"/>
      <c r="I53" s="94"/>
      <c r="J53" s="78">
        <f t="shared" si="21"/>
        <v>33.384155111903787</v>
      </c>
      <c r="K53" s="78">
        <f t="shared" si="17"/>
        <v>0</v>
      </c>
      <c r="L53" s="78">
        <f t="shared" si="18"/>
        <v>0</v>
      </c>
      <c r="M53" s="78">
        <f t="shared" si="19"/>
        <v>0</v>
      </c>
      <c r="N53" s="78">
        <f t="shared" si="20"/>
        <v>0</v>
      </c>
      <c r="O53" s="79">
        <v>1000</v>
      </c>
      <c r="P53" s="80">
        <v>10</v>
      </c>
      <c r="Q53" s="81">
        <v>28.2</v>
      </c>
      <c r="R53" s="89">
        <f t="shared" si="22"/>
        <v>33</v>
      </c>
      <c r="S53" s="90">
        <f t="shared" si="7"/>
        <v>1033</v>
      </c>
      <c r="T53" s="91"/>
      <c r="U53" s="84">
        <f t="shared" si="16"/>
        <v>0.111</v>
      </c>
      <c r="V53" s="84">
        <f t="shared" si="16"/>
        <v>0</v>
      </c>
      <c r="W53" s="84">
        <f t="shared" si="16"/>
        <v>0</v>
      </c>
      <c r="X53" s="85">
        <f t="shared" si="16"/>
        <v>0</v>
      </c>
      <c r="Y53" s="85">
        <f t="shared" si="16"/>
        <v>0</v>
      </c>
      <c r="Z53" s="92"/>
      <c r="AA53" s="87">
        <f t="shared" si="15"/>
        <v>0.1</v>
      </c>
      <c r="AB53" s="87">
        <f t="shared" si="15"/>
        <v>0.28199999999999997</v>
      </c>
    </row>
    <row r="54" spans="2:28" ht="17.25" thickTop="1" thickBot="1" x14ac:dyDescent="0.3">
      <c r="B54" s="11">
        <v>8039830</v>
      </c>
      <c r="C54" s="112" t="s">
        <v>1076</v>
      </c>
      <c r="D54" s="75">
        <v>1</v>
      </c>
      <c r="E54" s="76">
        <v>14.55</v>
      </c>
      <c r="F54" s="76"/>
      <c r="G54" s="76"/>
      <c r="H54" s="76"/>
      <c r="I54" s="94"/>
      <c r="J54" s="78">
        <f t="shared" si="21"/>
        <v>159.37236941602819</v>
      </c>
      <c r="K54" s="78">
        <f t="shared" si="17"/>
        <v>0</v>
      </c>
      <c r="L54" s="78">
        <f t="shared" si="18"/>
        <v>0</v>
      </c>
      <c r="M54" s="78">
        <f t="shared" si="19"/>
        <v>0</v>
      </c>
      <c r="N54" s="78">
        <f t="shared" si="20"/>
        <v>0</v>
      </c>
      <c r="O54" s="79">
        <v>1000</v>
      </c>
      <c r="P54" s="80">
        <v>10</v>
      </c>
      <c r="Q54" s="81">
        <v>28.3</v>
      </c>
      <c r="R54" s="89">
        <f t="shared" si="22"/>
        <v>159</v>
      </c>
      <c r="S54" s="90">
        <f t="shared" ref="S54:S70" si="23">+D54*O54+R54</f>
        <v>1159</v>
      </c>
      <c r="T54" s="91"/>
      <c r="U54" s="84">
        <f t="shared" si="16"/>
        <v>0.14550000000000002</v>
      </c>
      <c r="V54" s="84">
        <f t="shared" si="16"/>
        <v>0</v>
      </c>
      <c r="W54" s="84">
        <f t="shared" si="16"/>
        <v>0</v>
      </c>
      <c r="X54" s="85">
        <f t="shared" si="16"/>
        <v>0</v>
      </c>
      <c r="Y54" s="85">
        <f t="shared" si="16"/>
        <v>0</v>
      </c>
      <c r="Z54" s="92"/>
      <c r="AA54" s="87">
        <f t="shared" si="15"/>
        <v>0.1</v>
      </c>
      <c r="AB54" s="87">
        <f t="shared" si="15"/>
        <v>0.28300000000000003</v>
      </c>
    </row>
    <row r="55" spans="2:28" ht="17.25" thickTop="1" thickBot="1" x14ac:dyDescent="0.3">
      <c r="B55" s="11">
        <v>8039828</v>
      </c>
      <c r="C55" s="112" t="s">
        <v>1075</v>
      </c>
      <c r="D55" s="75">
        <v>2</v>
      </c>
      <c r="E55" s="76">
        <v>21.4</v>
      </c>
      <c r="F55" s="76"/>
      <c r="G55" s="76"/>
      <c r="H55" s="76"/>
      <c r="I55" s="94"/>
      <c r="J55" s="78">
        <f t="shared" si="21"/>
        <v>485.47463175122761</v>
      </c>
      <c r="K55" s="78">
        <f t="shared" si="17"/>
        <v>0</v>
      </c>
      <c r="L55" s="78">
        <f t="shared" si="18"/>
        <v>0</v>
      </c>
      <c r="M55" s="78">
        <f t="shared" si="19"/>
        <v>0</v>
      </c>
      <c r="N55" s="78">
        <f t="shared" si="20"/>
        <v>0</v>
      </c>
      <c r="O55" s="79">
        <v>1000</v>
      </c>
      <c r="P55" s="80">
        <v>10.1</v>
      </c>
      <c r="Q55" s="81">
        <v>28.9</v>
      </c>
      <c r="R55" s="89">
        <f t="shared" si="22"/>
        <v>485</v>
      </c>
      <c r="S55" s="90">
        <f t="shared" si="23"/>
        <v>2485</v>
      </c>
      <c r="T55" s="91"/>
      <c r="U55" s="84">
        <f t="shared" si="16"/>
        <v>0.214</v>
      </c>
      <c r="V55" s="84">
        <f t="shared" si="16"/>
        <v>0</v>
      </c>
      <c r="W55" s="84">
        <f t="shared" si="16"/>
        <v>0</v>
      </c>
      <c r="X55" s="85">
        <f t="shared" si="16"/>
        <v>0</v>
      </c>
      <c r="Y55" s="85">
        <f t="shared" si="16"/>
        <v>0</v>
      </c>
      <c r="Z55" s="92"/>
      <c r="AA55" s="87">
        <f t="shared" si="15"/>
        <v>0.10099999999999999</v>
      </c>
      <c r="AB55" s="87">
        <f>Q55/100</f>
        <v>0.28899999999999998</v>
      </c>
    </row>
    <row r="56" spans="2:28" ht="17.25" thickTop="1" thickBot="1" x14ac:dyDescent="0.3">
      <c r="B56" s="13">
        <v>8034705</v>
      </c>
      <c r="C56" s="115" t="s">
        <v>1046</v>
      </c>
      <c r="D56" s="75"/>
      <c r="E56" s="76">
        <v>19.600000000000001</v>
      </c>
      <c r="F56" s="76"/>
      <c r="G56" s="76"/>
      <c r="H56" s="76"/>
      <c r="I56" s="94"/>
      <c r="J56" s="78">
        <f>IF(E56="",0,O56*((U56^2-AA56^2)/(AB56^2-AA56^2)))</f>
        <v>444.5163628831815</v>
      </c>
      <c r="K56" s="78">
        <f t="shared" si="17"/>
        <v>0</v>
      </c>
      <c r="L56" s="78">
        <f t="shared" si="18"/>
        <v>0</v>
      </c>
      <c r="M56" s="78">
        <f t="shared" si="19"/>
        <v>0</v>
      </c>
      <c r="N56" s="78">
        <f t="shared" si="20"/>
        <v>0</v>
      </c>
      <c r="O56" s="116">
        <v>750</v>
      </c>
      <c r="P56" s="80">
        <v>9.9</v>
      </c>
      <c r="Q56" s="81">
        <v>24.1</v>
      </c>
      <c r="R56" s="89">
        <f>ROUND(SUBTOTAL(9,J56:N56),0)</f>
        <v>445</v>
      </c>
      <c r="S56" s="90">
        <f>+D56*O56+R56</f>
        <v>445</v>
      </c>
      <c r="T56" s="91"/>
      <c r="U56" s="84">
        <f t="shared" si="16"/>
        <v>0.19600000000000001</v>
      </c>
      <c r="V56" s="84">
        <f t="shared" si="16"/>
        <v>0</v>
      </c>
      <c r="W56" s="84">
        <f t="shared" si="16"/>
        <v>0</v>
      </c>
      <c r="X56" s="85">
        <f t="shared" si="16"/>
        <v>0</v>
      </c>
      <c r="Y56" s="85">
        <f t="shared" si="16"/>
        <v>0</v>
      </c>
      <c r="Z56" s="92"/>
      <c r="AA56" s="87">
        <f>P56/100</f>
        <v>9.9000000000000005E-2</v>
      </c>
      <c r="AB56" s="87">
        <f>Q56/100</f>
        <v>0.24100000000000002</v>
      </c>
    </row>
    <row r="57" spans="2:28" ht="17.25" thickTop="1" thickBot="1" x14ac:dyDescent="0.3">
      <c r="B57" s="13">
        <v>8044207</v>
      </c>
      <c r="C57" s="115" t="s">
        <v>1115</v>
      </c>
      <c r="D57" s="75"/>
      <c r="E57" s="76">
        <v>15.5</v>
      </c>
      <c r="F57" s="76"/>
      <c r="G57" s="76"/>
      <c r="H57" s="76"/>
      <c r="I57" s="94"/>
      <c r="J57" s="78">
        <f>IF(E57="",0,O57*((U57^2-AA57^2)/(AB57^2-AA57^2)))</f>
        <v>220.98214285714286</v>
      </c>
      <c r="K57" s="78">
        <f t="shared" si="17"/>
        <v>0</v>
      </c>
      <c r="L57" s="78">
        <f t="shared" si="18"/>
        <v>0</v>
      </c>
      <c r="M57" s="78">
        <f t="shared" si="19"/>
        <v>0</v>
      </c>
      <c r="N57" s="78">
        <f t="shared" si="20"/>
        <v>0</v>
      </c>
      <c r="O57" s="116">
        <v>750</v>
      </c>
      <c r="P57" s="80">
        <v>10</v>
      </c>
      <c r="Q57" s="81">
        <v>24</v>
      </c>
      <c r="R57" s="89">
        <f>ROUND(SUBTOTAL(9,J57:N57),0)</f>
        <v>221</v>
      </c>
      <c r="S57" s="90">
        <f>+D57*O57+R57</f>
        <v>221</v>
      </c>
      <c r="T57" s="91"/>
      <c r="U57" s="84">
        <f t="shared" si="16"/>
        <v>0.155</v>
      </c>
      <c r="V57" s="84">
        <f t="shared" si="16"/>
        <v>0</v>
      </c>
      <c r="W57" s="84">
        <f t="shared" si="16"/>
        <v>0</v>
      </c>
      <c r="X57" s="85">
        <f t="shared" si="16"/>
        <v>0</v>
      </c>
      <c r="Y57" s="85">
        <f t="shared" si="16"/>
        <v>0</v>
      </c>
      <c r="Z57" s="92"/>
      <c r="AA57" s="87">
        <f>P57/100</f>
        <v>0.1</v>
      </c>
      <c r="AB57" s="87">
        <f>Q57/100</f>
        <v>0.24</v>
      </c>
    </row>
    <row r="58" spans="2:28" ht="17.25" thickTop="1" thickBot="1" x14ac:dyDescent="0.3">
      <c r="B58" s="13">
        <v>8034703</v>
      </c>
      <c r="C58" s="115" t="s">
        <v>1044</v>
      </c>
      <c r="D58" s="75"/>
      <c r="E58" s="76">
        <v>18.7</v>
      </c>
      <c r="F58" s="76"/>
      <c r="G58" s="76"/>
      <c r="H58" s="76"/>
      <c r="I58" s="94"/>
      <c r="J58" s="78">
        <f>IF(E58="",0,O58*((U58^2-AA58^2)/(AB58^2-AA58^2)))</f>
        <v>381.79677465391751</v>
      </c>
      <c r="K58" s="78">
        <f t="shared" si="17"/>
        <v>0</v>
      </c>
      <c r="L58" s="78">
        <f t="shared" si="18"/>
        <v>0</v>
      </c>
      <c r="M58" s="78">
        <f t="shared" si="19"/>
        <v>0</v>
      </c>
      <c r="N58" s="78">
        <f t="shared" si="20"/>
        <v>0</v>
      </c>
      <c r="O58" s="116">
        <v>750</v>
      </c>
      <c r="P58" s="80">
        <v>10</v>
      </c>
      <c r="Q58" s="81">
        <v>24.3</v>
      </c>
      <c r="R58" s="89">
        <f>ROUND(SUBTOTAL(9,J58:N58),0)</f>
        <v>382</v>
      </c>
      <c r="S58" s="90">
        <f>+D58*O58+R58</f>
        <v>382</v>
      </c>
      <c r="T58" s="91"/>
      <c r="U58" s="84">
        <f>E58/100</f>
        <v>0.187</v>
      </c>
      <c r="V58" s="84">
        <f>F58/100</f>
        <v>0</v>
      </c>
      <c r="W58" s="84">
        <f>G58/100</f>
        <v>0</v>
      </c>
      <c r="X58" s="85">
        <f>H58/100</f>
        <v>0</v>
      </c>
      <c r="Y58" s="85">
        <f>I58/100</f>
        <v>0</v>
      </c>
      <c r="Z58" s="92"/>
      <c r="AA58" s="87">
        <f>P58/100</f>
        <v>0.1</v>
      </c>
      <c r="AB58" s="87">
        <f>Q58/100</f>
        <v>0.24299999999999999</v>
      </c>
    </row>
    <row r="59" spans="2:28" ht="17.25" thickTop="1" thickBot="1" x14ac:dyDescent="0.3">
      <c r="B59" s="15">
        <v>8040738</v>
      </c>
      <c r="C59" s="67" t="s">
        <v>1091</v>
      </c>
      <c r="D59" s="75">
        <v>2</v>
      </c>
      <c r="E59" s="76">
        <v>13.1</v>
      </c>
      <c r="F59" s="76"/>
      <c r="G59" s="76"/>
      <c r="H59" s="76"/>
      <c r="I59" s="94"/>
      <c r="J59" s="78">
        <f t="shared" si="21"/>
        <v>68.049444793630869</v>
      </c>
      <c r="K59" s="78">
        <f t="shared" si="17"/>
        <v>0</v>
      </c>
      <c r="L59" s="78">
        <f t="shared" si="18"/>
        <v>0</v>
      </c>
      <c r="M59" s="78">
        <f t="shared" si="19"/>
        <v>0</v>
      </c>
      <c r="N59" s="78">
        <f t="shared" si="20"/>
        <v>0</v>
      </c>
      <c r="O59" s="79">
        <v>700</v>
      </c>
      <c r="P59" s="80">
        <v>10.1</v>
      </c>
      <c r="Q59" s="81">
        <v>28.6</v>
      </c>
      <c r="R59" s="89">
        <f t="shared" si="22"/>
        <v>68</v>
      </c>
      <c r="S59" s="90">
        <f t="shared" si="23"/>
        <v>1468</v>
      </c>
      <c r="T59" s="91"/>
      <c r="U59" s="84">
        <f t="shared" ref="U59:Y70" si="24">E59/100</f>
        <v>0.13100000000000001</v>
      </c>
      <c r="V59" s="84">
        <f t="shared" si="24"/>
        <v>0</v>
      </c>
      <c r="W59" s="84">
        <f t="shared" si="24"/>
        <v>0</v>
      </c>
      <c r="X59" s="85">
        <f t="shared" si="24"/>
        <v>0</v>
      </c>
      <c r="Y59" s="85">
        <f t="shared" si="24"/>
        <v>0</v>
      </c>
      <c r="Z59" s="92"/>
      <c r="AA59" s="87">
        <f t="shared" si="15"/>
        <v>0.10099999999999999</v>
      </c>
      <c r="AB59" s="87">
        <f>Q59/100</f>
        <v>0.28600000000000003</v>
      </c>
    </row>
    <row r="60" spans="2:28" ht="17.25" thickTop="1" thickBot="1" x14ac:dyDescent="0.3">
      <c r="B60" s="15">
        <v>8040737</v>
      </c>
      <c r="C60" s="67" t="s">
        <v>1090</v>
      </c>
      <c r="D60" s="75">
        <v>1</v>
      </c>
      <c r="E60" s="76">
        <v>12.5</v>
      </c>
      <c r="F60" s="76"/>
      <c r="G60" s="76"/>
      <c r="H60" s="76"/>
      <c r="I60" s="94"/>
      <c r="J60" s="78">
        <f t="shared" si="21"/>
        <v>57.078853046594986</v>
      </c>
      <c r="K60" s="78">
        <f t="shared" si="17"/>
        <v>0</v>
      </c>
      <c r="L60" s="78">
        <f t="shared" si="18"/>
        <v>0</v>
      </c>
      <c r="M60" s="78">
        <f t="shared" si="19"/>
        <v>0</v>
      </c>
      <c r="N60" s="78">
        <f t="shared" si="20"/>
        <v>0</v>
      </c>
      <c r="O60" s="79">
        <v>700</v>
      </c>
      <c r="P60" s="80">
        <v>9.9</v>
      </c>
      <c r="Q60" s="81">
        <v>28.5</v>
      </c>
      <c r="R60" s="89">
        <f t="shared" si="22"/>
        <v>57</v>
      </c>
      <c r="S60" s="90">
        <f t="shared" si="23"/>
        <v>757</v>
      </c>
      <c r="T60" s="91"/>
      <c r="U60" s="84">
        <f t="shared" si="24"/>
        <v>0.125</v>
      </c>
      <c r="V60" s="84">
        <f t="shared" si="24"/>
        <v>0</v>
      </c>
      <c r="W60" s="84">
        <f t="shared" si="24"/>
        <v>0</v>
      </c>
      <c r="X60" s="85">
        <f t="shared" si="24"/>
        <v>0</v>
      </c>
      <c r="Y60" s="85">
        <f t="shared" si="24"/>
        <v>0</v>
      </c>
      <c r="Z60" s="92"/>
      <c r="AA60" s="87">
        <f t="shared" ref="AA60:AB62" si="25">P60/100</f>
        <v>9.9000000000000005E-2</v>
      </c>
      <c r="AB60" s="87">
        <f t="shared" si="25"/>
        <v>0.28499999999999998</v>
      </c>
    </row>
    <row r="61" spans="2:28" ht="17.25" thickTop="1" thickBot="1" x14ac:dyDescent="0.3">
      <c r="B61" s="17">
        <v>8030944</v>
      </c>
      <c r="C61" s="117" t="s">
        <v>1007</v>
      </c>
      <c r="D61" s="75">
        <v>1</v>
      </c>
      <c r="E61" s="76">
        <v>11.6</v>
      </c>
      <c r="F61" s="76"/>
      <c r="G61" s="76"/>
      <c r="H61" s="76"/>
      <c r="I61" s="94"/>
      <c r="J61" s="78">
        <f t="shared" si="21"/>
        <v>81.481481481481438</v>
      </c>
      <c r="K61" s="78">
        <f t="shared" si="17"/>
        <v>0</v>
      </c>
      <c r="L61" s="78">
        <f t="shared" si="18"/>
        <v>0</v>
      </c>
      <c r="M61" s="78">
        <f t="shared" si="19"/>
        <v>0</v>
      </c>
      <c r="N61" s="78">
        <f t="shared" si="20"/>
        <v>0</v>
      </c>
      <c r="O61" s="79">
        <v>1000</v>
      </c>
      <c r="P61" s="80">
        <v>9.4</v>
      </c>
      <c r="Q61" s="81">
        <v>25.6</v>
      </c>
      <c r="R61" s="89">
        <f t="shared" si="22"/>
        <v>81</v>
      </c>
      <c r="S61" s="90">
        <f t="shared" si="23"/>
        <v>1081</v>
      </c>
      <c r="T61" s="91"/>
      <c r="U61" s="84">
        <f t="shared" si="24"/>
        <v>0.11599999999999999</v>
      </c>
      <c r="V61" s="84">
        <f t="shared" si="24"/>
        <v>0</v>
      </c>
      <c r="W61" s="84">
        <f t="shared" si="24"/>
        <v>0</v>
      </c>
      <c r="X61" s="85">
        <f t="shared" si="24"/>
        <v>0</v>
      </c>
      <c r="Y61" s="85">
        <f t="shared" si="24"/>
        <v>0</v>
      </c>
      <c r="Z61" s="92"/>
      <c r="AA61" s="87">
        <f t="shared" si="25"/>
        <v>9.4E-2</v>
      </c>
      <c r="AB61" s="87">
        <f t="shared" si="25"/>
        <v>0.25600000000000001</v>
      </c>
    </row>
    <row r="62" spans="2:28" ht="17.25" thickTop="1" thickBot="1" x14ac:dyDescent="0.3">
      <c r="B62" s="17">
        <v>8042003</v>
      </c>
      <c r="C62" s="117" t="s">
        <v>1350</v>
      </c>
      <c r="D62" s="75">
        <v>2</v>
      </c>
      <c r="E62" s="76">
        <v>15.5</v>
      </c>
      <c r="F62" s="76">
        <v>13.5</v>
      </c>
      <c r="G62" s="76"/>
      <c r="H62" s="76"/>
      <c r="I62" s="118"/>
      <c r="J62" s="78">
        <f t="shared" si="21"/>
        <v>270.13022665271183</v>
      </c>
      <c r="K62" s="78">
        <f t="shared" si="17"/>
        <v>170.61578848034591</v>
      </c>
      <c r="L62" s="78">
        <f t="shared" si="18"/>
        <v>0</v>
      </c>
      <c r="M62" s="78">
        <f t="shared" si="19"/>
        <v>0</v>
      </c>
      <c r="N62" s="78">
        <f t="shared" si="20"/>
        <v>0</v>
      </c>
      <c r="O62" s="79">
        <v>1000</v>
      </c>
      <c r="P62" s="80">
        <v>9.1</v>
      </c>
      <c r="Q62" s="81">
        <v>25.8</v>
      </c>
      <c r="R62" s="89">
        <f t="shared" si="22"/>
        <v>441</v>
      </c>
      <c r="S62" s="90">
        <f t="shared" si="23"/>
        <v>2441</v>
      </c>
      <c r="T62" s="91"/>
      <c r="U62" s="84">
        <f t="shared" si="24"/>
        <v>0.155</v>
      </c>
      <c r="V62" s="84">
        <f t="shared" si="24"/>
        <v>0.13500000000000001</v>
      </c>
      <c r="W62" s="84">
        <f t="shared" si="24"/>
        <v>0</v>
      </c>
      <c r="X62" s="85">
        <f t="shared" si="24"/>
        <v>0</v>
      </c>
      <c r="Y62" s="85">
        <f t="shared" si="24"/>
        <v>0</v>
      </c>
      <c r="Z62" s="92"/>
      <c r="AA62" s="87">
        <f>P62/100</f>
        <v>9.0999999999999998E-2</v>
      </c>
      <c r="AB62" s="88">
        <f t="shared" si="25"/>
        <v>0.25800000000000001</v>
      </c>
    </row>
    <row r="63" spans="2:28" ht="17.25" thickTop="1" thickBot="1" x14ac:dyDescent="0.3">
      <c r="B63" s="119">
        <v>8048296</v>
      </c>
      <c r="C63" s="120" t="s">
        <v>1324</v>
      </c>
      <c r="D63" s="75"/>
      <c r="E63" s="76">
        <v>25.9</v>
      </c>
      <c r="F63" s="76"/>
      <c r="G63" s="76"/>
      <c r="H63" s="76"/>
      <c r="I63" s="118"/>
      <c r="J63" s="78">
        <f t="shared" si="21"/>
        <v>743.24218749999989</v>
      </c>
      <c r="K63" s="78">
        <f t="shared" si="17"/>
        <v>0</v>
      </c>
      <c r="L63" s="78">
        <f t="shared" si="18"/>
        <v>0</v>
      </c>
      <c r="M63" s="78">
        <f t="shared" si="19"/>
        <v>0</v>
      </c>
      <c r="N63" s="78">
        <f t="shared" si="20"/>
        <v>0</v>
      </c>
      <c r="O63" s="79">
        <v>750</v>
      </c>
      <c r="P63" s="80">
        <v>10</v>
      </c>
      <c r="Q63" s="81">
        <v>26</v>
      </c>
      <c r="R63" s="89">
        <f t="shared" si="22"/>
        <v>743</v>
      </c>
      <c r="S63" s="90">
        <f t="shared" si="23"/>
        <v>743</v>
      </c>
      <c r="T63" s="91"/>
      <c r="U63" s="84">
        <f t="shared" si="24"/>
        <v>0.25900000000000001</v>
      </c>
      <c r="V63" s="84">
        <f t="shared" si="24"/>
        <v>0</v>
      </c>
      <c r="W63" s="84">
        <f t="shared" si="24"/>
        <v>0</v>
      </c>
      <c r="X63" s="85">
        <f t="shared" si="24"/>
        <v>0</v>
      </c>
      <c r="Y63" s="85">
        <f t="shared" si="24"/>
        <v>0</v>
      </c>
      <c r="Z63" s="92"/>
      <c r="AA63" s="87">
        <f t="shared" ref="AA63:AB70" si="26">P63/100</f>
        <v>0.1</v>
      </c>
      <c r="AB63" s="88">
        <f t="shared" si="26"/>
        <v>0.26</v>
      </c>
    </row>
    <row r="64" spans="2:28" ht="17.25" thickTop="1" thickBot="1" x14ac:dyDescent="0.3">
      <c r="B64" s="119">
        <v>8036083</v>
      </c>
      <c r="C64" s="120" t="s">
        <v>1051</v>
      </c>
      <c r="D64" s="75">
        <v>1</v>
      </c>
      <c r="E64" s="76">
        <v>10.6</v>
      </c>
      <c r="F64" s="76"/>
      <c r="G64" s="76"/>
      <c r="H64" s="76"/>
      <c r="I64" s="118"/>
      <c r="J64" s="78">
        <f>IF(E64="",0,O64*((U64^2-AA64^2)/(AB64^2-AA64^2)))</f>
        <v>16.886747302471306</v>
      </c>
      <c r="K64" s="78">
        <f>IF(F64="",0,O64*((V64^2-AA64^2)/(AB64^2-AA64^2)))</f>
        <v>0</v>
      </c>
      <c r="L64" s="78">
        <f>IF(G64="",0,O64*((W64^2-AA64^2)/(AB64^2-AA64^2)))</f>
        <v>0</v>
      </c>
      <c r="M64" s="78">
        <f>IF(H64="",0,O64*((X64^2-AA64^2)/(AB64^2-AA64^2)))</f>
        <v>0</v>
      </c>
      <c r="N64" s="78">
        <f>IF(I64="",0,O64*((Y64^2-AA64^2)/(AB64^2-AA64^2)))</f>
        <v>0</v>
      </c>
      <c r="O64" s="79">
        <v>750</v>
      </c>
      <c r="P64" s="80">
        <v>10.1</v>
      </c>
      <c r="Q64" s="81">
        <v>23.7</v>
      </c>
      <c r="R64" s="89">
        <f t="shared" si="22"/>
        <v>17</v>
      </c>
      <c r="S64" s="90">
        <f t="shared" si="23"/>
        <v>767</v>
      </c>
      <c r="T64" s="91"/>
      <c r="U64" s="84">
        <f t="shared" si="24"/>
        <v>0.106</v>
      </c>
      <c r="V64" s="84">
        <f t="shared" si="24"/>
        <v>0</v>
      </c>
      <c r="W64" s="84">
        <f t="shared" si="24"/>
        <v>0</v>
      </c>
      <c r="X64" s="85">
        <f t="shared" si="24"/>
        <v>0</v>
      </c>
      <c r="Y64" s="85">
        <f t="shared" si="24"/>
        <v>0</v>
      </c>
      <c r="Z64" s="92"/>
      <c r="AA64" s="87">
        <f t="shared" si="26"/>
        <v>0.10099999999999999</v>
      </c>
      <c r="AB64" s="88">
        <f t="shared" si="26"/>
        <v>0.23699999999999999</v>
      </c>
    </row>
    <row r="65" spans="2:28" ht="17.25" thickTop="1" thickBot="1" x14ac:dyDescent="0.3">
      <c r="B65" s="119">
        <v>8031295</v>
      </c>
      <c r="C65" s="120" t="s">
        <v>1018</v>
      </c>
      <c r="D65" s="75"/>
      <c r="E65" s="76">
        <v>17.3</v>
      </c>
      <c r="F65" s="76"/>
      <c r="G65" s="76"/>
      <c r="H65" s="76"/>
      <c r="I65" s="118"/>
      <c r="J65" s="78">
        <f t="shared" si="21"/>
        <v>306.109713622291</v>
      </c>
      <c r="K65" s="78">
        <f t="shared" si="17"/>
        <v>0</v>
      </c>
      <c r="L65" s="78">
        <f t="shared" si="18"/>
        <v>0</v>
      </c>
      <c r="M65" s="78">
        <f t="shared" si="19"/>
        <v>0</v>
      </c>
      <c r="N65" s="78">
        <f t="shared" si="20"/>
        <v>0</v>
      </c>
      <c r="O65" s="79">
        <v>750</v>
      </c>
      <c r="P65" s="80">
        <v>9.4</v>
      </c>
      <c r="Q65" s="81">
        <v>24.6</v>
      </c>
      <c r="R65" s="89">
        <f t="shared" si="22"/>
        <v>306</v>
      </c>
      <c r="S65" s="90">
        <f t="shared" si="23"/>
        <v>306</v>
      </c>
      <c r="T65" s="91"/>
      <c r="U65" s="84">
        <f t="shared" si="24"/>
        <v>0.17300000000000001</v>
      </c>
      <c r="V65" s="84">
        <f t="shared" si="24"/>
        <v>0</v>
      </c>
      <c r="W65" s="84">
        <f t="shared" si="24"/>
        <v>0</v>
      </c>
      <c r="X65" s="85">
        <f t="shared" si="24"/>
        <v>0</v>
      </c>
      <c r="Y65" s="85">
        <f t="shared" si="24"/>
        <v>0</v>
      </c>
      <c r="Z65" s="92"/>
      <c r="AA65" s="87">
        <f>P65/100</f>
        <v>9.4E-2</v>
      </c>
      <c r="AB65" s="88">
        <f t="shared" si="26"/>
        <v>0.24600000000000002</v>
      </c>
    </row>
    <row r="66" spans="2:28" ht="17.25" thickTop="1" thickBot="1" x14ac:dyDescent="0.3">
      <c r="B66" s="119">
        <v>8046823</v>
      </c>
      <c r="C66" s="120" t="s">
        <v>1166</v>
      </c>
      <c r="D66" s="75">
        <v>1</v>
      </c>
      <c r="E66" s="76">
        <v>10.199999999999999</v>
      </c>
      <c r="F66" s="76"/>
      <c r="G66" s="76"/>
      <c r="H66" s="76"/>
      <c r="I66" s="118"/>
      <c r="J66" s="78">
        <f>IF(E66="",0,O66*((U66^2-AA66^2)/(AB66^2-AA66^2)))</f>
        <v>5.4520917678811927</v>
      </c>
      <c r="K66" s="78">
        <f>IF(F66="",0,O66*((V66^2-AA66^2)/(AB66^2-AA66^2)))</f>
        <v>0</v>
      </c>
      <c r="L66" s="78">
        <f>IF(G66="",0,O66*((W66^2-AA66^2)/(AB66^2-AA66^2)))</f>
        <v>0</v>
      </c>
      <c r="M66" s="78">
        <f>IF(H66="",0,O66*((X66^2-AA66^2)/(AB66^2-AA66^2)))</f>
        <v>0</v>
      </c>
      <c r="N66" s="78">
        <f>IF(I66="",0,O66*((Y66^2-AA66^2)/(AB66^2-AA66^2)))</f>
        <v>0</v>
      </c>
      <c r="O66" s="79">
        <v>1000</v>
      </c>
      <c r="P66" s="80">
        <v>10</v>
      </c>
      <c r="Q66" s="81">
        <v>29</v>
      </c>
      <c r="R66" s="89">
        <f t="shared" si="22"/>
        <v>5</v>
      </c>
      <c r="S66" s="90">
        <f t="shared" si="23"/>
        <v>1005</v>
      </c>
      <c r="T66" s="91"/>
      <c r="U66" s="84">
        <f t="shared" si="24"/>
        <v>0.10199999999999999</v>
      </c>
      <c r="V66" s="84">
        <f t="shared" si="24"/>
        <v>0</v>
      </c>
      <c r="W66" s="84">
        <f t="shared" si="24"/>
        <v>0</v>
      </c>
      <c r="X66" s="85">
        <f t="shared" si="24"/>
        <v>0</v>
      </c>
      <c r="Y66" s="85">
        <f t="shared" si="24"/>
        <v>0</v>
      </c>
      <c r="Z66" s="92"/>
      <c r="AA66" s="87">
        <f t="shared" ref="AA66:AB68" si="27">P66/100</f>
        <v>0.1</v>
      </c>
      <c r="AB66" s="88">
        <f t="shared" si="27"/>
        <v>0.28999999999999998</v>
      </c>
    </row>
    <row r="67" spans="2:28" ht="17.25" thickTop="1" thickBot="1" x14ac:dyDescent="0.3">
      <c r="B67" s="119">
        <v>8048298</v>
      </c>
      <c r="C67" s="120" t="s">
        <v>1186</v>
      </c>
      <c r="D67" s="75"/>
      <c r="E67" s="76">
        <v>23.8</v>
      </c>
      <c r="F67" s="76"/>
      <c r="G67" s="76"/>
      <c r="H67" s="76"/>
      <c r="I67" s="118"/>
      <c r="J67" s="78">
        <f>IF(E67="",0,O67*((U67^2-AA67^2)/(AB67^2-AA67^2)))</f>
        <v>734.93697478991612</v>
      </c>
      <c r="K67" s="78">
        <f>IF(F67="",0,O67*((V67^2-AA67^2)/(AB67^2-AA67^2)))</f>
        <v>0</v>
      </c>
      <c r="L67" s="78">
        <f>IF(G67="",0,O67*((W67^2-AA67^2)/(AB67^2-AA67^2)))</f>
        <v>0</v>
      </c>
      <c r="M67" s="78">
        <f>IF(H67="",0,O67*((X67^2-AA67^2)/(AB67^2-AA67^2)))</f>
        <v>0</v>
      </c>
      <c r="N67" s="78">
        <f>IF(I67="",0,O67*((Y67^2-AA67^2)/(AB67^2-AA67^2)))</f>
        <v>0</v>
      </c>
      <c r="O67" s="79">
        <v>750</v>
      </c>
      <c r="P67" s="80">
        <v>10</v>
      </c>
      <c r="Q67" s="81">
        <v>24</v>
      </c>
      <c r="R67" s="89">
        <f t="shared" si="22"/>
        <v>735</v>
      </c>
      <c r="S67" s="90">
        <f t="shared" si="23"/>
        <v>735</v>
      </c>
      <c r="T67" s="91"/>
      <c r="U67" s="84">
        <f t="shared" si="24"/>
        <v>0.23800000000000002</v>
      </c>
      <c r="V67" s="84">
        <f t="shared" si="24"/>
        <v>0</v>
      </c>
      <c r="W67" s="84">
        <f t="shared" si="24"/>
        <v>0</v>
      </c>
      <c r="X67" s="85">
        <f t="shared" si="24"/>
        <v>0</v>
      </c>
      <c r="Y67" s="85">
        <f t="shared" si="24"/>
        <v>0</v>
      </c>
      <c r="Z67" s="92"/>
      <c r="AA67" s="87">
        <f t="shared" si="27"/>
        <v>0.1</v>
      </c>
      <c r="AB67" s="88">
        <f t="shared" si="27"/>
        <v>0.24</v>
      </c>
    </row>
    <row r="68" spans="2:28" ht="17.25" thickTop="1" thickBot="1" x14ac:dyDescent="0.3">
      <c r="B68" s="119">
        <v>8048302</v>
      </c>
      <c r="C68" s="120" t="s">
        <v>1187</v>
      </c>
      <c r="D68" s="75"/>
      <c r="E68" s="76">
        <v>21.5</v>
      </c>
      <c r="F68" s="76">
        <v>21.4</v>
      </c>
      <c r="G68" s="76"/>
      <c r="H68" s="76"/>
      <c r="I68" s="118"/>
      <c r="J68" s="78">
        <f>IF(E68="",0,O68*((U68^2-AA68^2)/(AB68^2-AA68^2)))</f>
        <v>542.60352167182634</v>
      </c>
      <c r="K68" s="78">
        <f>IF(F68="",0,O68*((V68^2-AA68^2)/(AB68^2-AA68^2)))</f>
        <v>536.37770897832786</v>
      </c>
      <c r="L68" s="78">
        <f>IF(G68="",0,O68*((W68^2-AA68^2)/(AB68^2-AA68^2)))</f>
        <v>0</v>
      </c>
      <c r="M68" s="78">
        <f>IF(H68="",0,O68*((X68^2-AA68^2)/(AB68^2-AA68^2)))</f>
        <v>0</v>
      </c>
      <c r="N68" s="78">
        <f>IF(I68="",0,O68*((Y68^2-AA68^2)/(AB68^2-AA68^2)))</f>
        <v>0</v>
      </c>
      <c r="O68" s="79">
        <v>750</v>
      </c>
      <c r="P68" s="80">
        <v>9.4</v>
      </c>
      <c r="Q68" s="81">
        <v>24.6</v>
      </c>
      <c r="R68" s="89">
        <f t="shared" si="22"/>
        <v>1079</v>
      </c>
      <c r="S68" s="90">
        <f t="shared" si="23"/>
        <v>1079</v>
      </c>
      <c r="T68" s="91"/>
      <c r="U68" s="84">
        <f t="shared" si="24"/>
        <v>0.215</v>
      </c>
      <c r="V68" s="84">
        <f t="shared" si="24"/>
        <v>0.214</v>
      </c>
      <c r="W68" s="84">
        <f t="shared" si="24"/>
        <v>0</v>
      </c>
      <c r="X68" s="85">
        <f t="shared" si="24"/>
        <v>0</v>
      </c>
      <c r="Y68" s="85">
        <f t="shared" si="24"/>
        <v>0</v>
      </c>
      <c r="Z68" s="92"/>
      <c r="AA68" s="87">
        <f t="shared" si="27"/>
        <v>9.4E-2</v>
      </c>
      <c r="AB68" s="88">
        <f t="shared" si="27"/>
        <v>0.24600000000000002</v>
      </c>
    </row>
    <row r="69" spans="2:28" ht="17.25" thickTop="1" thickBot="1" x14ac:dyDescent="0.3">
      <c r="B69" s="119">
        <v>8038717</v>
      </c>
      <c r="C69" s="120" t="s">
        <v>1063</v>
      </c>
      <c r="D69" s="75"/>
      <c r="E69" s="76">
        <v>17.399999999999999</v>
      </c>
      <c r="F69" s="76"/>
      <c r="G69" s="76"/>
      <c r="H69" s="76"/>
      <c r="I69" s="118"/>
      <c r="J69" s="78">
        <f t="shared" si="21"/>
        <v>333.02267785026402</v>
      </c>
      <c r="K69" s="78">
        <f t="shared" si="17"/>
        <v>0</v>
      </c>
      <c r="L69" s="78">
        <f t="shared" si="18"/>
        <v>0</v>
      </c>
      <c r="M69" s="78">
        <f t="shared" si="19"/>
        <v>0</v>
      </c>
      <c r="N69" s="78">
        <f t="shared" si="20"/>
        <v>0</v>
      </c>
      <c r="O69" s="79">
        <v>750</v>
      </c>
      <c r="P69" s="80">
        <v>9.4</v>
      </c>
      <c r="Q69" s="81">
        <v>23.9</v>
      </c>
      <c r="R69" s="89">
        <f t="shared" si="22"/>
        <v>333</v>
      </c>
      <c r="S69" s="90">
        <f t="shared" si="23"/>
        <v>333</v>
      </c>
      <c r="T69" s="91"/>
      <c r="U69" s="84">
        <f t="shared" si="24"/>
        <v>0.17399999999999999</v>
      </c>
      <c r="V69" s="84">
        <f t="shared" si="24"/>
        <v>0</v>
      </c>
      <c r="W69" s="84">
        <f t="shared" si="24"/>
        <v>0</v>
      </c>
      <c r="X69" s="85">
        <f t="shared" si="24"/>
        <v>0</v>
      </c>
      <c r="Y69" s="85">
        <f t="shared" si="24"/>
        <v>0</v>
      </c>
      <c r="Z69" s="92"/>
      <c r="AA69" s="87">
        <f>P69/100</f>
        <v>9.4E-2</v>
      </c>
      <c r="AB69" s="88">
        <f t="shared" si="26"/>
        <v>0.23899999999999999</v>
      </c>
    </row>
    <row r="70" spans="2:28" ht="17.25" hidden="1" thickTop="1" thickBot="1" x14ac:dyDescent="0.3">
      <c r="B70" s="15">
        <v>8000841</v>
      </c>
      <c r="C70" s="67" t="s">
        <v>1381</v>
      </c>
      <c r="D70" s="75"/>
      <c r="E70" s="76"/>
      <c r="F70" s="76"/>
      <c r="G70" s="76"/>
      <c r="H70" s="76"/>
      <c r="I70" s="118"/>
      <c r="J70" s="78">
        <f t="shared" si="21"/>
        <v>0</v>
      </c>
      <c r="K70" s="78">
        <f t="shared" si="17"/>
        <v>0</v>
      </c>
      <c r="L70" s="78">
        <f t="shared" si="18"/>
        <v>0</v>
      </c>
      <c r="M70" s="78">
        <f t="shared" si="19"/>
        <v>0</v>
      </c>
      <c r="N70" s="78">
        <f t="shared" si="20"/>
        <v>0</v>
      </c>
      <c r="O70" s="79">
        <v>350</v>
      </c>
      <c r="P70" s="80">
        <v>9.1999999999999993</v>
      </c>
      <c r="Q70" s="81">
        <v>25.5</v>
      </c>
      <c r="R70" s="89">
        <f t="shared" si="22"/>
        <v>0</v>
      </c>
      <c r="S70" s="90">
        <f t="shared" si="23"/>
        <v>0</v>
      </c>
      <c r="T70" s="91"/>
      <c r="U70" s="84">
        <f t="shared" si="24"/>
        <v>0</v>
      </c>
      <c r="V70" s="84">
        <f t="shared" si="24"/>
        <v>0</v>
      </c>
      <c r="W70" s="84">
        <f t="shared" si="24"/>
        <v>0</v>
      </c>
      <c r="X70" s="85">
        <f t="shared" si="24"/>
        <v>0</v>
      </c>
      <c r="Y70" s="85">
        <f t="shared" si="24"/>
        <v>0</v>
      </c>
      <c r="Z70" s="92"/>
      <c r="AA70" s="87">
        <f>P70/100</f>
        <v>9.1999999999999998E-2</v>
      </c>
      <c r="AB70" s="88">
        <f t="shared" si="26"/>
        <v>0.255</v>
      </c>
    </row>
    <row r="71" spans="2:28" ht="17.25" hidden="1" thickTop="1" thickBot="1" x14ac:dyDescent="0.3">
      <c r="B71" s="4">
        <v>8038476</v>
      </c>
      <c r="C71" s="19" t="s">
        <v>1061</v>
      </c>
      <c r="D71" s="75"/>
      <c r="E71" s="76"/>
      <c r="F71" s="76"/>
      <c r="G71" s="76"/>
      <c r="H71" s="76"/>
      <c r="I71" s="118"/>
      <c r="J71" s="78">
        <f>IF(E71="",0,O71*((U71^2-AA71^2)/(AB71^2-AA71^2)))</f>
        <v>0</v>
      </c>
      <c r="K71" s="78">
        <f>IF(F71="",0,O71*((V71^2-AA71^2)/(AB71^2-AA71^2)))</f>
        <v>0</v>
      </c>
      <c r="L71" s="78">
        <f>IF(G71="",0,O71*((W71^2-AA71^2)/(AB71^2-AA71^2)))</f>
        <v>0</v>
      </c>
      <c r="M71" s="78">
        <f>IF(H71="",0,O71*((X71^2-AA71^2)/(AB71^2-AA71^2)))</f>
        <v>0</v>
      </c>
      <c r="N71" s="78">
        <f>IF(I71="",0,O71*((Y71^2-AA71^2)/(AB71^2-AA71^2)))</f>
        <v>0</v>
      </c>
      <c r="O71" s="79">
        <v>610</v>
      </c>
      <c r="P71" s="80">
        <v>9.5</v>
      </c>
      <c r="Q71" s="81">
        <v>33.299999999999997</v>
      </c>
      <c r="R71" s="89">
        <f>ROUND(SUBTOTAL(9,J71:N71),0)</f>
        <v>0</v>
      </c>
      <c r="S71" s="90">
        <f>+D71*O71+R71</f>
        <v>0</v>
      </c>
      <c r="T71" s="91"/>
      <c r="U71" s="84">
        <f t="shared" ref="U71:Y72" si="28">E71/100</f>
        <v>0</v>
      </c>
      <c r="V71" s="84">
        <f t="shared" si="28"/>
        <v>0</v>
      </c>
      <c r="W71" s="84">
        <f t="shared" si="28"/>
        <v>0</v>
      </c>
      <c r="X71" s="85">
        <f t="shared" si="28"/>
        <v>0</v>
      </c>
      <c r="Y71" s="85">
        <f t="shared" si="28"/>
        <v>0</v>
      </c>
      <c r="Z71" s="92"/>
      <c r="AA71" s="87">
        <f>P71/100</f>
        <v>9.5000000000000001E-2</v>
      </c>
      <c r="AB71" s="88">
        <f>Q71/100</f>
        <v>0.33299999999999996</v>
      </c>
    </row>
    <row r="72" spans="2:28" ht="17.25" hidden="1" thickTop="1" thickBot="1" x14ac:dyDescent="0.3">
      <c r="B72" s="15" t="s">
        <v>1371</v>
      </c>
      <c r="C72" s="67" t="s">
        <v>1372</v>
      </c>
      <c r="D72" s="75"/>
      <c r="E72" s="76"/>
      <c r="F72" s="76"/>
      <c r="G72" s="76"/>
      <c r="H72" s="76"/>
      <c r="I72" s="121"/>
      <c r="J72" s="122"/>
      <c r="K72" s="122"/>
      <c r="L72" s="122"/>
      <c r="M72" s="122"/>
      <c r="N72" s="122"/>
      <c r="O72" s="79" t="s">
        <v>1376</v>
      </c>
      <c r="P72" s="80" t="s">
        <v>1377</v>
      </c>
      <c r="Q72" s="81" t="s">
        <v>1378</v>
      </c>
      <c r="R72" s="123" t="s">
        <v>1382</v>
      </c>
      <c r="S72" s="124" t="s">
        <v>1383</v>
      </c>
      <c r="T72" s="91"/>
      <c r="U72" s="84">
        <f t="shared" si="28"/>
        <v>0</v>
      </c>
      <c r="V72" s="84">
        <f t="shared" si="28"/>
        <v>0</v>
      </c>
      <c r="W72" s="84">
        <f t="shared" si="28"/>
        <v>0</v>
      </c>
      <c r="X72" s="85">
        <f t="shared" si="28"/>
        <v>0</v>
      </c>
      <c r="Y72" s="85">
        <f t="shared" si="28"/>
        <v>0</v>
      </c>
      <c r="Z72" s="92"/>
      <c r="AA72" s="87" t="e">
        <f>P72/100</f>
        <v>#VALUE!</v>
      </c>
      <c r="AB72" s="87" t="e">
        <f>Q72/100</f>
        <v>#VALUE!</v>
      </c>
    </row>
    <row r="73" spans="2:28" ht="16.5" thickBot="1" x14ac:dyDescent="0.3">
      <c r="B73" s="125"/>
      <c r="C73" s="125"/>
      <c r="D73" s="125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91"/>
      <c r="T73" s="91"/>
      <c r="U73" s="126"/>
      <c r="V73" s="91"/>
      <c r="W73" s="126"/>
      <c r="X73" s="126"/>
      <c r="Y73" s="126"/>
      <c r="Z73" s="126"/>
      <c r="AA73" s="126"/>
      <c r="AB73" s="126"/>
    </row>
    <row r="74" spans="2:28" ht="16.5" thickBot="1" x14ac:dyDescent="0.3">
      <c r="B74" s="15">
        <v>8031663</v>
      </c>
      <c r="C74" s="67" t="s">
        <v>1023</v>
      </c>
      <c r="D74" s="105"/>
      <c r="E74" s="100"/>
      <c r="F74" s="76"/>
      <c r="G74" s="76"/>
      <c r="H74" s="76"/>
      <c r="I74" s="94"/>
      <c r="J74" s="78">
        <f t="shared" ref="J74:J81" si="29">IF(E74="",0,O74*((U74^2-AA74^2)/(AB74^2-AA74^2)))</f>
        <v>0</v>
      </c>
      <c r="K74" s="78">
        <f t="shared" ref="K74:K81" si="30">IF(F74="",0,O74*((V74^2-AA74^2)/(AB74^2-AA74^2)))</f>
        <v>0</v>
      </c>
      <c r="L74" s="78">
        <f t="shared" ref="L74:L81" si="31">IF(G74="",0,O74*((W74^2-AA74^2)/(AB74^2-AA74^2)))</f>
        <v>0</v>
      </c>
      <c r="M74" s="78">
        <f t="shared" ref="M74:M81" si="32">IF(H74="",0,O74*((X74^2-AA74^2)/(AB74^2-AA74^2)))</f>
        <v>0</v>
      </c>
      <c r="N74" s="78">
        <f t="shared" ref="N74:N81" si="33">IF(I74="",0,O74*((Y74^2-AA74^2)/(AB74^2-AA74^2)))</f>
        <v>0</v>
      </c>
      <c r="O74" s="96">
        <v>731</v>
      </c>
      <c r="P74" s="96">
        <v>9.6999999999999993</v>
      </c>
      <c r="Q74" s="96">
        <v>33.5</v>
      </c>
      <c r="R74" s="89">
        <f t="shared" ref="R74:R81" si="34">ROUND(SUBTOTAL(9,J74:N74),0)</f>
        <v>0</v>
      </c>
      <c r="S74" s="90">
        <f t="shared" ref="S74:S81" si="35">+D74*O74+R74</f>
        <v>0</v>
      </c>
      <c r="T74" s="91"/>
      <c r="U74" s="127">
        <f t="shared" ref="U74:Y82" si="36">E74/100</f>
        <v>0</v>
      </c>
      <c r="V74" s="127">
        <f t="shared" si="36"/>
        <v>0</v>
      </c>
      <c r="W74" s="127">
        <f t="shared" si="36"/>
        <v>0</v>
      </c>
      <c r="X74" s="128">
        <f t="shared" si="36"/>
        <v>0</v>
      </c>
      <c r="Y74" s="128">
        <f t="shared" si="36"/>
        <v>0</v>
      </c>
      <c r="Z74" s="129"/>
      <c r="AA74" s="87">
        <f t="shared" ref="AA74:AB80" si="37">P74/100</f>
        <v>9.6999999999999989E-2</v>
      </c>
      <c r="AB74" s="87">
        <f t="shared" si="37"/>
        <v>0.33500000000000002</v>
      </c>
    </row>
    <row r="75" spans="2:28" ht="17.25" thickTop="1" thickBot="1" x14ac:dyDescent="0.3">
      <c r="B75" s="15">
        <v>8034703</v>
      </c>
      <c r="C75" s="67" t="s">
        <v>1044</v>
      </c>
      <c r="D75" s="75"/>
      <c r="E75" s="76"/>
      <c r="F75" s="76"/>
      <c r="G75" s="76"/>
      <c r="H75" s="76"/>
      <c r="I75" s="94"/>
      <c r="J75" s="78">
        <f t="shared" si="29"/>
        <v>0</v>
      </c>
      <c r="K75" s="78">
        <f t="shared" si="30"/>
        <v>0</v>
      </c>
      <c r="L75" s="78">
        <f t="shared" si="31"/>
        <v>0</v>
      </c>
      <c r="M75" s="78">
        <f t="shared" si="32"/>
        <v>0</v>
      </c>
      <c r="N75" s="78">
        <f t="shared" si="33"/>
        <v>0</v>
      </c>
      <c r="O75" s="79">
        <v>750</v>
      </c>
      <c r="P75" s="80">
        <v>9.9</v>
      </c>
      <c r="Q75" s="81">
        <v>24.5</v>
      </c>
      <c r="R75" s="89">
        <f>ROUND(SUBTOTAL(9,J75:N75),0)</f>
        <v>0</v>
      </c>
      <c r="S75" s="90">
        <f t="shared" si="35"/>
        <v>0</v>
      </c>
      <c r="T75" s="91"/>
      <c r="U75" s="84">
        <f t="shared" si="36"/>
        <v>0</v>
      </c>
      <c r="V75" s="84">
        <f t="shared" si="36"/>
        <v>0</v>
      </c>
      <c r="W75" s="84">
        <f t="shared" si="36"/>
        <v>0</v>
      </c>
      <c r="X75" s="85">
        <f t="shared" si="36"/>
        <v>0</v>
      </c>
      <c r="Y75" s="85">
        <f t="shared" si="36"/>
        <v>0</v>
      </c>
      <c r="Z75" s="92"/>
      <c r="AA75" s="130">
        <f t="shared" si="37"/>
        <v>9.9000000000000005E-2</v>
      </c>
      <c r="AB75" s="130">
        <f t="shared" si="37"/>
        <v>0.245</v>
      </c>
    </row>
    <row r="76" spans="2:28" ht="16.5" thickBot="1" x14ac:dyDescent="0.3">
      <c r="B76" s="15">
        <v>8034704</v>
      </c>
      <c r="C76" s="67" t="s">
        <v>1045</v>
      </c>
      <c r="D76" s="105"/>
      <c r="E76" s="100"/>
      <c r="F76" s="76"/>
      <c r="G76" s="76"/>
      <c r="H76" s="76"/>
      <c r="I76" s="94"/>
      <c r="J76" s="78">
        <f t="shared" si="29"/>
        <v>0</v>
      </c>
      <c r="K76" s="78">
        <f t="shared" si="30"/>
        <v>0</v>
      </c>
      <c r="L76" s="78">
        <f t="shared" si="31"/>
        <v>0</v>
      </c>
      <c r="M76" s="78">
        <f t="shared" si="32"/>
        <v>0</v>
      </c>
      <c r="N76" s="78">
        <f t="shared" si="33"/>
        <v>0</v>
      </c>
      <c r="O76" s="96">
        <v>750</v>
      </c>
      <c r="P76" s="96">
        <v>9.6</v>
      </c>
      <c r="Q76" s="96">
        <v>24.6</v>
      </c>
      <c r="R76" s="89">
        <f t="shared" si="34"/>
        <v>0</v>
      </c>
      <c r="S76" s="90">
        <f t="shared" si="35"/>
        <v>0</v>
      </c>
      <c r="T76" s="91"/>
      <c r="U76" s="84">
        <f t="shared" si="36"/>
        <v>0</v>
      </c>
      <c r="V76" s="84">
        <f t="shared" si="36"/>
        <v>0</v>
      </c>
      <c r="W76" s="84">
        <f t="shared" si="36"/>
        <v>0</v>
      </c>
      <c r="X76" s="85">
        <f t="shared" si="36"/>
        <v>0</v>
      </c>
      <c r="Y76" s="85">
        <f t="shared" si="36"/>
        <v>0</v>
      </c>
      <c r="Z76" s="92"/>
      <c r="AA76" s="87">
        <f t="shared" si="37"/>
        <v>9.6000000000000002E-2</v>
      </c>
      <c r="AB76" s="87">
        <f t="shared" si="37"/>
        <v>0.24600000000000002</v>
      </c>
    </row>
    <row r="77" spans="2:28" ht="16.5" thickBot="1" x14ac:dyDescent="0.3">
      <c r="B77" s="15">
        <v>8033661</v>
      </c>
      <c r="C77" s="67" t="s">
        <v>1038</v>
      </c>
      <c r="D77" s="105"/>
      <c r="E77" s="100"/>
      <c r="F77" s="76"/>
      <c r="G77" s="76"/>
      <c r="H77" s="76"/>
      <c r="I77" s="94"/>
      <c r="J77" s="78">
        <f t="shared" si="29"/>
        <v>0</v>
      </c>
      <c r="K77" s="78">
        <f t="shared" si="30"/>
        <v>0</v>
      </c>
      <c r="L77" s="78">
        <f t="shared" si="31"/>
        <v>0</v>
      </c>
      <c r="M77" s="78">
        <f t="shared" si="32"/>
        <v>0</v>
      </c>
      <c r="N77" s="78">
        <f t="shared" si="33"/>
        <v>0</v>
      </c>
      <c r="O77" s="96">
        <v>750</v>
      </c>
      <c r="P77" s="96">
        <v>9.9</v>
      </c>
      <c r="Q77" s="96">
        <v>26.3</v>
      </c>
      <c r="R77" s="89">
        <f t="shared" si="34"/>
        <v>0</v>
      </c>
      <c r="S77" s="90">
        <f t="shared" si="35"/>
        <v>0</v>
      </c>
      <c r="T77" s="91"/>
      <c r="U77" s="84">
        <f>E77/100</f>
        <v>0</v>
      </c>
      <c r="V77" s="84">
        <f t="shared" si="36"/>
        <v>0</v>
      </c>
      <c r="W77" s="84">
        <f t="shared" si="36"/>
        <v>0</v>
      </c>
      <c r="X77" s="85">
        <f t="shared" si="36"/>
        <v>0</v>
      </c>
      <c r="Y77" s="85">
        <f t="shared" si="36"/>
        <v>0</v>
      </c>
      <c r="Z77" s="92"/>
      <c r="AA77" s="87">
        <f t="shared" si="37"/>
        <v>9.9000000000000005E-2</v>
      </c>
      <c r="AB77" s="87">
        <f t="shared" si="37"/>
        <v>0.26300000000000001</v>
      </c>
    </row>
    <row r="78" spans="2:28" ht="16.5" thickBot="1" x14ac:dyDescent="0.3">
      <c r="B78" s="15">
        <v>8033660</v>
      </c>
      <c r="C78" s="67" t="s">
        <v>1037</v>
      </c>
      <c r="D78" s="105"/>
      <c r="E78" s="100"/>
      <c r="F78" s="76"/>
      <c r="G78" s="76"/>
      <c r="H78" s="76"/>
      <c r="I78" s="94"/>
      <c r="J78" s="78">
        <f t="shared" si="29"/>
        <v>0</v>
      </c>
      <c r="K78" s="78">
        <f t="shared" si="30"/>
        <v>0</v>
      </c>
      <c r="L78" s="78">
        <f t="shared" si="31"/>
        <v>0</v>
      </c>
      <c r="M78" s="78">
        <f t="shared" si="32"/>
        <v>0</v>
      </c>
      <c r="N78" s="78">
        <f t="shared" si="33"/>
        <v>0</v>
      </c>
      <c r="O78" s="96">
        <v>750</v>
      </c>
      <c r="P78" s="96">
        <v>9.9</v>
      </c>
      <c r="Q78" s="96">
        <v>26.4</v>
      </c>
      <c r="R78" s="89">
        <f t="shared" si="34"/>
        <v>0</v>
      </c>
      <c r="S78" s="90">
        <f t="shared" si="35"/>
        <v>0</v>
      </c>
      <c r="T78" s="91"/>
      <c r="U78" s="84">
        <f t="shared" si="36"/>
        <v>0</v>
      </c>
      <c r="V78" s="84">
        <f t="shared" si="36"/>
        <v>0</v>
      </c>
      <c r="W78" s="84">
        <f t="shared" si="36"/>
        <v>0</v>
      </c>
      <c r="X78" s="85">
        <f t="shared" si="36"/>
        <v>0</v>
      </c>
      <c r="Y78" s="85">
        <f t="shared" si="36"/>
        <v>0</v>
      </c>
      <c r="Z78" s="92"/>
      <c r="AA78" s="87">
        <f t="shared" si="37"/>
        <v>9.9000000000000005E-2</v>
      </c>
      <c r="AB78" s="87">
        <f t="shared" si="37"/>
        <v>0.26400000000000001</v>
      </c>
    </row>
    <row r="79" spans="2:28" ht="16.5" thickBot="1" x14ac:dyDescent="0.3">
      <c r="B79" s="15">
        <v>8033659</v>
      </c>
      <c r="C79" s="67" t="s">
        <v>1036</v>
      </c>
      <c r="D79" s="105"/>
      <c r="E79" s="100"/>
      <c r="F79" s="76"/>
      <c r="G79" s="76"/>
      <c r="H79" s="76"/>
      <c r="I79" s="94"/>
      <c r="J79" s="78">
        <f t="shared" si="29"/>
        <v>0</v>
      </c>
      <c r="K79" s="78">
        <f t="shared" si="30"/>
        <v>0</v>
      </c>
      <c r="L79" s="78">
        <f t="shared" si="31"/>
        <v>0</v>
      </c>
      <c r="M79" s="78">
        <f t="shared" si="32"/>
        <v>0</v>
      </c>
      <c r="N79" s="78">
        <f t="shared" si="33"/>
        <v>0</v>
      </c>
      <c r="O79" s="96">
        <v>750</v>
      </c>
      <c r="P79" s="96">
        <v>9.9</v>
      </c>
      <c r="Q79" s="96">
        <v>26.4</v>
      </c>
      <c r="R79" s="89">
        <f t="shared" si="34"/>
        <v>0</v>
      </c>
      <c r="S79" s="90">
        <f t="shared" si="35"/>
        <v>0</v>
      </c>
      <c r="T79" s="91"/>
      <c r="U79" s="84">
        <f t="shared" si="36"/>
        <v>0</v>
      </c>
      <c r="V79" s="84">
        <f t="shared" si="36"/>
        <v>0</v>
      </c>
      <c r="W79" s="84">
        <f t="shared" si="36"/>
        <v>0</v>
      </c>
      <c r="X79" s="85">
        <f t="shared" si="36"/>
        <v>0</v>
      </c>
      <c r="Y79" s="85">
        <f t="shared" si="36"/>
        <v>0</v>
      </c>
      <c r="Z79" s="92"/>
      <c r="AA79" s="87">
        <f t="shared" si="37"/>
        <v>9.9000000000000005E-2</v>
      </c>
      <c r="AB79" s="87">
        <f t="shared" si="37"/>
        <v>0.26400000000000001</v>
      </c>
    </row>
    <row r="80" spans="2:28" ht="16.5" thickBot="1" x14ac:dyDescent="0.3">
      <c r="B80" s="15">
        <v>8033662</v>
      </c>
      <c r="C80" s="67" t="s">
        <v>1039</v>
      </c>
      <c r="D80" s="105"/>
      <c r="E80" s="100"/>
      <c r="F80" s="76"/>
      <c r="G80" s="76"/>
      <c r="H80" s="76"/>
      <c r="I80" s="94"/>
      <c r="J80" s="78">
        <f t="shared" si="29"/>
        <v>0</v>
      </c>
      <c r="K80" s="78">
        <f t="shared" si="30"/>
        <v>0</v>
      </c>
      <c r="L80" s="78">
        <f t="shared" si="31"/>
        <v>0</v>
      </c>
      <c r="M80" s="78">
        <f t="shared" si="32"/>
        <v>0</v>
      </c>
      <c r="N80" s="78">
        <f t="shared" si="33"/>
        <v>0</v>
      </c>
      <c r="O80" s="96">
        <v>750</v>
      </c>
      <c r="P80" s="96">
        <v>9.8000000000000007</v>
      </c>
      <c r="Q80" s="96">
        <v>26</v>
      </c>
      <c r="R80" s="89">
        <f t="shared" si="34"/>
        <v>0</v>
      </c>
      <c r="S80" s="90">
        <f t="shared" si="35"/>
        <v>0</v>
      </c>
      <c r="T80" s="91"/>
      <c r="U80" s="84">
        <f t="shared" si="36"/>
        <v>0</v>
      </c>
      <c r="V80" s="84">
        <f t="shared" si="36"/>
        <v>0</v>
      </c>
      <c r="W80" s="84">
        <f t="shared" si="36"/>
        <v>0</v>
      </c>
      <c r="X80" s="85">
        <f t="shared" si="36"/>
        <v>0</v>
      </c>
      <c r="Y80" s="85">
        <f t="shared" si="36"/>
        <v>0</v>
      </c>
      <c r="Z80" s="92"/>
      <c r="AA80" s="87">
        <f t="shared" si="37"/>
        <v>9.8000000000000004E-2</v>
      </c>
      <c r="AB80" s="87">
        <f t="shared" si="37"/>
        <v>0.26</v>
      </c>
    </row>
    <row r="81" spans="2:28" ht="16.5" thickBot="1" x14ac:dyDescent="0.3">
      <c r="B81" s="15">
        <v>8033663</v>
      </c>
      <c r="C81" s="67" t="s">
        <v>1040</v>
      </c>
      <c r="D81" s="105"/>
      <c r="E81" s="100"/>
      <c r="F81" s="76"/>
      <c r="G81" s="76"/>
      <c r="H81" s="76"/>
      <c r="I81" s="94"/>
      <c r="J81" s="78">
        <f t="shared" si="29"/>
        <v>0</v>
      </c>
      <c r="K81" s="78">
        <f t="shared" si="30"/>
        <v>0</v>
      </c>
      <c r="L81" s="78">
        <f t="shared" si="31"/>
        <v>0</v>
      </c>
      <c r="M81" s="78">
        <f t="shared" si="32"/>
        <v>0</v>
      </c>
      <c r="N81" s="78">
        <f t="shared" si="33"/>
        <v>0</v>
      </c>
      <c r="O81" s="96">
        <v>750</v>
      </c>
      <c r="P81" s="96">
        <v>9.8000000000000007</v>
      </c>
      <c r="Q81" s="96">
        <v>26</v>
      </c>
      <c r="R81" s="89">
        <f t="shared" si="34"/>
        <v>0</v>
      </c>
      <c r="S81" s="90">
        <f t="shared" si="35"/>
        <v>0</v>
      </c>
      <c r="T81" s="91"/>
      <c r="U81" s="84">
        <f t="shared" si="36"/>
        <v>0</v>
      </c>
      <c r="V81" s="84">
        <f t="shared" si="36"/>
        <v>0</v>
      </c>
      <c r="W81" s="84">
        <f t="shared" si="36"/>
        <v>0</v>
      </c>
      <c r="X81" s="85">
        <f t="shared" si="36"/>
        <v>0</v>
      </c>
      <c r="Y81" s="85">
        <f t="shared" si="36"/>
        <v>0</v>
      </c>
      <c r="Z81" s="92"/>
      <c r="AA81" s="87">
        <f>P81/100</f>
        <v>9.8000000000000004E-2</v>
      </c>
      <c r="AB81" s="87">
        <f>Q81/100</f>
        <v>0.26</v>
      </c>
    </row>
    <row r="82" spans="2:28" ht="17.25" thickTop="1" thickBot="1" x14ac:dyDescent="0.3">
      <c r="B82" s="15">
        <v>8040604</v>
      </c>
      <c r="C82" s="67" t="s">
        <v>1088</v>
      </c>
      <c r="D82" s="75"/>
      <c r="E82" s="76">
        <v>13.1</v>
      </c>
      <c r="F82" s="76"/>
      <c r="G82" s="76"/>
      <c r="H82" s="76"/>
      <c r="I82" s="94"/>
      <c r="J82" s="78">
        <f>IF(E82="",0,O82*((U82^2-AA82^2)/(AB82^2-AA82^2)))</f>
        <v>85.47105849018422</v>
      </c>
      <c r="K82" s="78">
        <f>IF(F82="",0,O82*((V82^2-AA82^2)/(AB82^2-AA82^2)))</f>
        <v>0</v>
      </c>
      <c r="L82" s="78">
        <f>IF(G82="",0,O82*((W82^2-AA82^2)/(AB82^2-AA82^2)))</f>
        <v>0</v>
      </c>
      <c r="M82" s="78">
        <f>IF(H82="",0,O82*((X82^2-AA82^2)/(AB82^2-AA82^2)))</f>
        <v>0</v>
      </c>
      <c r="N82" s="78">
        <f>IF(I82="",0,O82*((Y82^2-AA82^2)/(AB82^2-AA82^2)))</f>
        <v>0</v>
      </c>
      <c r="O82" s="79">
        <v>750</v>
      </c>
      <c r="P82" s="80">
        <v>10.199999999999999</v>
      </c>
      <c r="Q82" s="81">
        <v>26.4</v>
      </c>
      <c r="R82" s="89">
        <f>ROUND(SUBTOTAL(9,J82:N82),0)</f>
        <v>85</v>
      </c>
      <c r="S82" s="90">
        <f>+D82*O82+R82</f>
        <v>85</v>
      </c>
      <c r="T82" s="91"/>
      <c r="U82" s="84">
        <f t="shared" si="36"/>
        <v>0.13100000000000001</v>
      </c>
      <c r="V82" s="84">
        <f t="shared" si="36"/>
        <v>0</v>
      </c>
      <c r="W82" s="84">
        <f t="shared" si="36"/>
        <v>0</v>
      </c>
      <c r="X82" s="85">
        <f t="shared" si="36"/>
        <v>0</v>
      </c>
      <c r="Y82" s="85">
        <f t="shared" si="36"/>
        <v>0</v>
      </c>
      <c r="Z82" s="92"/>
      <c r="AA82" s="130">
        <f>P82/100</f>
        <v>0.10199999999999999</v>
      </c>
      <c r="AB82" s="130">
        <f>Q82/100</f>
        <v>0.26400000000000001</v>
      </c>
    </row>
    <row r="83" spans="2:28" x14ac:dyDescent="0.25"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74"/>
      <c r="U83" s="131"/>
      <c r="V83" s="74"/>
      <c r="W83" s="131"/>
      <c r="X83" s="131"/>
      <c r="Y83" s="131"/>
      <c r="Z83" s="131"/>
      <c r="AA83" s="131"/>
      <c r="AB83" s="131"/>
    </row>
    <row r="84" spans="2:28" x14ac:dyDescent="0.25"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74"/>
      <c r="U84" s="131"/>
      <c r="V84" s="74"/>
      <c r="W84" s="131"/>
      <c r="X84" s="131"/>
      <c r="Y84" s="131"/>
      <c r="Z84" s="131"/>
      <c r="AA84" s="131"/>
      <c r="AB84" s="131"/>
    </row>
    <row r="85" spans="2:28" x14ac:dyDescent="0.25"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74"/>
      <c r="U85" s="131"/>
      <c r="V85" s="74"/>
      <c r="W85" s="131"/>
      <c r="X85" s="131"/>
      <c r="Y85" s="131"/>
      <c r="Z85" s="131"/>
      <c r="AA85" s="131"/>
      <c r="AB85" s="131"/>
    </row>
    <row r="86" spans="2:28" x14ac:dyDescent="0.25"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74"/>
      <c r="U86" s="131"/>
      <c r="V86" s="74"/>
      <c r="W86" s="131"/>
      <c r="X86" s="131"/>
      <c r="Y86" s="131"/>
      <c r="Z86" s="131"/>
      <c r="AA86" s="131"/>
      <c r="AB86" s="131"/>
    </row>
    <row r="87" spans="2:28" x14ac:dyDescent="0.25"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74"/>
      <c r="U87" s="131"/>
      <c r="V87" s="74"/>
      <c r="W87" s="131"/>
      <c r="X87" s="131"/>
      <c r="Y87" s="131"/>
      <c r="Z87" s="131"/>
      <c r="AA87" s="131"/>
      <c r="AB87" s="131"/>
    </row>
    <row r="88" spans="2:28" x14ac:dyDescent="0.25"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74"/>
      <c r="U88" s="131"/>
      <c r="V88" s="74"/>
      <c r="W88" s="131"/>
      <c r="X88" s="131"/>
      <c r="Y88" s="131"/>
      <c r="Z88" s="131"/>
      <c r="AA88" s="131"/>
      <c r="AB88" s="131"/>
    </row>
    <row r="89" spans="2:28" x14ac:dyDescent="0.25"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74"/>
      <c r="U89" s="131"/>
      <c r="V89" s="74"/>
      <c r="W89" s="131"/>
      <c r="X89" s="131"/>
      <c r="Y89" s="131"/>
      <c r="Z89" s="131"/>
      <c r="AA89" s="131"/>
      <c r="AB89" s="131"/>
    </row>
    <row r="90" spans="2:28" x14ac:dyDescent="0.25"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74"/>
      <c r="U90" s="131"/>
      <c r="V90" s="74"/>
      <c r="W90" s="131"/>
      <c r="X90" s="131"/>
      <c r="Y90" s="131"/>
      <c r="Z90" s="131"/>
      <c r="AA90" s="131"/>
      <c r="AB90" s="131"/>
    </row>
    <row r="91" spans="2:28" x14ac:dyDescent="0.25"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74"/>
      <c r="U91" s="131"/>
      <c r="V91" s="74"/>
      <c r="W91" s="131"/>
      <c r="X91" s="131"/>
      <c r="Y91" s="131"/>
      <c r="Z91" s="131"/>
      <c r="AA91" s="131"/>
      <c r="AB91" s="131"/>
    </row>
    <row r="92" spans="2:28" x14ac:dyDescent="0.25"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74"/>
      <c r="U92" s="131"/>
      <c r="V92" s="74"/>
      <c r="W92" s="131"/>
      <c r="X92" s="131"/>
      <c r="Y92" s="131"/>
      <c r="Z92" s="131"/>
      <c r="AA92" s="131"/>
      <c r="AB92" s="131"/>
    </row>
    <row r="93" spans="2:28" x14ac:dyDescent="0.25">
      <c r="B93" s="131"/>
      <c r="C93" s="131"/>
      <c r="D93" s="131"/>
      <c r="E93" s="131"/>
      <c r="F93" s="131"/>
      <c r="G93" s="131"/>
      <c r="H93" s="131"/>
      <c r="I93" s="131"/>
      <c r="J93" s="131"/>
      <c r="K93" s="131"/>
      <c r="L93" s="131"/>
      <c r="M93" s="131"/>
      <c r="N93" s="131"/>
      <c r="O93" s="131"/>
      <c r="P93" s="131"/>
      <c r="Q93" s="131"/>
      <c r="R93" s="131"/>
      <c r="S93" s="131"/>
      <c r="T93" s="74"/>
      <c r="U93" s="131"/>
      <c r="V93" s="74"/>
      <c r="W93" s="131"/>
      <c r="X93" s="131"/>
      <c r="Y93" s="131"/>
      <c r="Z93" s="131"/>
      <c r="AA93" s="131"/>
      <c r="AB93" s="131"/>
    </row>
    <row r="94" spans="2:28" x14ac:dyDescent="0.25">
      <c r="B94" s="131"/>
      <c r="C94" s="131"/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74"/>
      <c r="U94" s="131"/>
      <c r="V94" s="74"/>
      <c r="W94" s="131"/>
      <c r="X94" s="131"/>
      <c r="Y94" s="131"/>
      <c r="Z94" s="131"/>
      <c r="AA94" s="131"/>
      <c r="AB94" s="131"/>
    </row>
    <row r="95" spans="2:28" x14ac:dyDescent="0.25">
      <c r="B95" s="131"/>
      <c r="C95" s="131"/>
      <c r="D95" s="131"/>
      <c r="E95" s="131"/>
      <c r="F95" s="131"/>
      <c r="G95" s="131"/>
      <c r="H95" s="131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74"/>
      <c r="U95" s="131"/>
      <c r="V95" s="74"/>
      <c r="W95" s="131"/>
      <c r="X95" s="131"/>
      <c r="Y95" s="131"/>
      <c r="Z95" s="131"/>
      <c r="AA95" s="131"/>
      <c r="AB95" s="131"/>
    </row>
    <row r="96" spans="2:28" x14ac:dyDescent="0.25">
      <c r="B96" s="131"/>
      <c r="C96" s="131"/>
      <c r="D96" s="131"/>
      <c r="E96" s="131"/>
      <c r="F96" s="131"/>
      <c r="G96" s="131"/>
      <c r="H96" s="131"/>
      <c r="I96" s="131"/>
      <c r="J96" s="131"/>
      <c r="K96" s="131"/>
      <c r="L96" s="131"/>
      <c r="M96" s="131"/>
      <c r="N96" s="131"/>
      <c r="O96" s="131"/>
      <c r="P96" s="131"/>
      <c r="Q96" s="131"/>
      <c r="R96" s="131"/>
      <c r="S96" s="131"/>
      <c r="T96" s="74"/>
      <c r="U96" s="131"/>
      <c r="V96" s="74"/>
      <c r="W96" s="131"/>
      <c r="X96" s="131"/>
      <c r="Y96" s="131"/>
      <c r="Z96" s="131"/>
      <c r="AA96" s="131"/>
      <c r="AB96" s="131"/>
    </row>
    <row r="97" spans="2:28" x14ac:dyDescent="0.25">
      <c r="B97" s="131"/>
      <c r="C97" s="131"/>
      <c r="D97" s="131"/>
      <c r="E97" s="131"/>
      <c r="F97" s="131"/>
      <c r="G97" s="131"/>
      <c r="H97" s="131"/>
      <c r="I97" s="131"/>
      <c r="J97" s="131"/>
      <c r="K97" s="131"/>
      <c r="L97" s="131"/>
      <c r="M97" s="131"/>
      <c r="N97" s="131"/>
      <c r="O97" s="131"/>
      <c r="P97" s="131"/>
      <c r="Q97" s="131"/>
      <c r="R97" s="131"/>
      <c r="S97" s="131"/>
      <c r="T97" s="74"/>
      <c r="U97" s="131"/>
      <c r="V97" s="74"/>
      <c r="W97" s="131"/>
      <c r="X97" s="131"/>
      <c r="Y97" s="131"/>
      <c r="Z97" s="131"/>
      <c r="AA97" s="131"/>
      <c r="AB97" s="131"/>
    </row>
    <row r="98" spans="2:28" x14ac:dyDescent="0.25">
      <c r="B98" s="131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1"/>
      <c r="O98" s="131"/>
      <c r="P98" s="131"/>
      <c r="Q98" s="131"/>
      <c r="R98" s="131"/>
      <c r="S98" s="131"/>
      <c r="T98" s="74"/>
      <c r="U98" s="131"/>
      <c r="V98" s="74"/>
      <c r="W98" s="131"/>
      <c r="X98" s="131"/>
      <c r="Y98" s="131"/>
      <c r="Z98" s="131"/>
      <c r="AA98" s="131"/>
      <c r="AB98" s="131"/>
    </row>
    <row r="99" spans="2:28" x14ac:dyDescent="0.25">
      <c r="B99" s="131"/>
      <c r="C99" s="131"/>
      <c r="D99" s="131"/>
      <c r="E99" s="131"/>
      <c r="F99" s="131"/>
      <c r="G99" s="131"/>
      <c r="H99" s="131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  <c r="T99" s="74"/>
      <c r="U99" s="131"/>
      <c r="V99" s="74"/>
      <c r="W99" s="131"/>
      <c r="X99" s="131"/>
      <c r="Y99" s="131"/>
      <c r="Z99" s="131"/>
      <c r="AA99" s="131"/>
      <c r="AB99" s="131"/>
    </row>
    <row r="100" spans="2:28" x14ac:dyDescent="0.25">
      <c r="B100" s="131"/>
      <c r="C100" s="131"/>
      <c r="D100" s="131"/>
      <c r="E100" s="131"/>
      <c r="F100" s="131"/>
      <c r="G100" s="131"/>
      <c r="H100" s="131"/>
      <c r="I100" s="131"/>
      <c r="J100" s="131"/>
      <c r="K100" s="131"/>
      <c r="L100" s="131"/>
      <c r="M100" s="131"/>
      <c r="N100" s="131"/>
      <c r="O100" s="131"/>
      <c r="P100" s="131"/>
      <c r="Q100" s="131"/>
      <c r="R100" s="131"/>
      <c r="S100" s="131"/>
      <c r="T100" s="74"/>
      <c r="U100" s="131"/>
      <c r="V100" s="74"/>
      <c r="W100" s="131"/>
      <c r="X100" s="131"/>
      <c r="Y100" s="131"/>
      <c r="Z100" s="131"/>
      <c r="AA100" s="131"/>
      <c r="AB100" s="131"/>
    </row>
    <row r="101" spans="2:28" x14ac:dyDescent="0.25">
      <c r="B101" s="131"/>
      <c r="C101" s="131"/>
      <c r="D101" s="131"/>
      <c r="E101" s="131"/>
      <c r="F101" s="131"/>
      <c r="G101" s="131"/>
      <c r="H101" s="131"/>
      <c r="I101" s="131"/>
      <c r="J101" s="131"/>
      <c r="K101" s="131"/>
      <c r="L101" s="131"/>
      <c r="M101" s="131"/>
      <c r="N101" s="131"/>
      <c r="O101" s="131"/>
      <c r="P101" s="131"/>
      <c r="Q101" s="131"/>
      <c r="R101" s="131"/>
      <c r="S101" s="131"/>
      <c r="T101" s="74"/>
      <c r="U101" s="131"/>
      <c r="V101" s="74"/>
      <c r="W101" s="131"/>
      <c r="X101" s="131"/>
      <c r="Y101" s="131"/>
      <c r="Z101" s="131"/>
      <c r="AA101" s="131"/>
      <c r="AB101" s="131"/>
    </row>
    <row r="102" spans="2:28" x14ac:dyDescent="0.25">
      <c r="B102" s="131"/>
      <c r="C102" s="131"/>
      <c r="D102" s="131"/>
      <c r="E102" s="131"/>
      <c r="F102" s="131"/>
      <c r="G102" s="131"/>
      <c r="H102" s="131"/>
      <c r="I102" s="131"/>
      <c r="J102" s="131"/>
      <c r="K102" s="131"/>
      <c r="L102" s="131"/>
      <c r="M102" s="131"/>
      <c r="N102" s="131"/>
      <c r="O102" s="131"/>
      <c r="P102" s="131"/>
      <c r="Q102" s="131"/>
      <c r="R102" s="131"/>
      <c r="S102" s="131"/>
      <c r="T102" s="74"/>
      <c r="U102" s="131"/>
      <c r="V102" s="74"/>
      <c r="W102" s="131"/>
      <c r="X102" s="131"/>
      <c r="Y102" s="131"/>
      <c r="Z102" s="131"/>
      <c r="AA102" s="131"/>
      <c r="AB102" s="131"/>
    </row>
    <row r="103" spans="2:28" x14ac:dyDescent="0.25">
      <c r="B103" s="131"/>
      <c r="C103" s="131"/>
      <c r="D103" s="131"/>
      <c r="E103" s="131"/>
      <c r="F103" s="131"/>
      <c r="G103" s="131"/>
      <c r="H103" s="131"/>
      <c r="I103" s="131"/>
      <c r="J103" s="131"/>
      <c r="K103" s="131"/>
      <c r="L103" s="131"/>
      <c r="M103" s="131"/>
      <c r="N103" s="131"/>
      <c r="O103" s="131"/>
      <c r="P103" s="131"/>
      <c r="Q103" s="131"/>
      <c r="R103" s="131"/>
      <c r="S103" s="131"/>
      <c r="T103" s="74"/>
      <c r="U103" s="131"/>
      <c r="V103" s="74"/>
      <c r="W103" s="131"/>
      <c r="X103" s="131"/>
      <c r="Y103" s="131"/>
      <c r="Z103" s="131"/>
      <c r="AA103" s="131"/>
      <c r="AB103" s="131"/>
    </row>
    <row r="104" spans="2:28" x14ac:dyDescent="0.25">
      <c r="B104" s="131"/>
      <c r="C104" s="131"/>
      <c r="D104" s="131"/>
      <c r="E104" s="131"/>
      <c r="F104" s="131"/>
      <c r="G104" s="131"/>
      <c r="H104" s="131"/>
      <c r="I104" s="131"/>
      <c r="J104" s="131"/>
      <c r="K104" s="131"/>
      <c r="L104" s="131"/>
      <c r="M104" s="131"/>
      <c r="N104" s="131"/>
      <c r="O104" s="131"/>
      <c r="P104" s="131"/>
      <c r="Q104" s="131"/>
      <c r="R104" s="131"/>
      <c r="S104" s="131"/>
      <c r="T104" s="74"/>
      <c r="U104" s="131"/>
      <c r="V104" s="74"/>
      <c r="W104" s="131"/>
      <c r="X104" s="131"/>
      <c r="Y104" s="131"/>
      <c r="Z104" s="131"/>
      <c r="AA104" s="131"/>
      <c r="AB104" s="131"/>
    </row>
    <row r="105" spans="2:28" x14ac:dyDescent="0.25">
      <c r="B105" s="131"/>
      <c r="C105" s="131"/>
      <c r="D105" s="131"/>
      <c r="E105" s="131"/>
      <c r="F105" s="131"/>
      <c r="G105" s="131"/>
      <c r="H105" s="131"/>
      <c r="I105" s="131"/>
      <c r="J105" s="131"/>
      <c r="K105" s="131"/>
      <c r="L105" s="131"/>
      <c r="M105" s="131"/>
      <c r="N105" s="131"/>
      <c r="O105" s="131"/>
      <c r="P105" s="131"/>
      <c r="Q105" s="131"/>
      <c r="R105" s="131"/>
      <c r="S105" s="131"/>
      <c r="T105" s="74"/>
      <c r="U105" s="131"/>
      <c r="V105" s="74"/>
      <c r="W105" s="131"/>
      <c r="X105" s="131"/>
      <c r="Y105" s="131"/>
      <c r="Z105" s="131"/>
      <c r="AA105" s="131"/>
      <c r="AB105" s="131"/>
    </row>
    <row r="106" spans="2:28" x14ac:dyDescent="0.25">
      <c r="B106" s="131"/>
      <c r="C106" s="131"/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131"/>
      <c r="O106" s="131"/>
      <c r="P106" s="131"/>
      <c r="Q106" s="131"/>
      <c r="R106" s="131"/>
      <c r="S106" s="131"/>
      <c r="T106" s="74"/>
      <c r="U106" s="131"/>
      <c r="V106" s="74"/>
      <c r="W106" s="131"/>
      <c r="X106" s="131"/>
      <c r="Y106" s="131"/>
      <c r="Z106" s="131"/>
      <c r="AA106" s="131"/>
      <c r="AB106" s="131"/>
    </row>
    <row r="107" spans="2:28" x14ac:dyDescent="0.25">
      <c r="B107" s="131"/>
      <c r="C107" s="131"/>
      <c r="D107" s="132"/>
      <c r="E107" s="132"/>
      <c r="F107" s="132"/>
      <c r="G107" s="132"/>
      <c r="H107" s="132"/>
      <c r="I107" s="132"/>
      <c r="J107" s="132"/>
      <c r="K107" s="132"/>
      <c r="L107" s="132"/>
      <c r="M107" s="132"/>
      <c r="N107" s="132"/>
      <c r="O107" s="133"/>
      <c r="P107" s="133"/>
      <c r="Q107" s="133"/>
      <c r="R107" s="74"/>
      <c r="S107" s="74"/>
      <c r="T107" s="74"/>
      <c r="U107" s="131"/>
      <c r="V107" s="74"/>
      <c r="W107" s="131"/>
      <c r="X107" s="131"/>
      <c r="Y107" s="131"/>
      <c r="Z107" s="131"/>
      <c r="AA107" s="131"/>
      <c r="AB107" s="131"/>
    </row>
    <row r="108" spans="2:28" x14ac:dyDescent="0.25">
      <c r="B108" s="131"/>
      <c r="C108" s="131"/>
      <c r="D108" s="132"/>
      <c r="E108" s="132"/>
      <c r="F108" s="132"/>
      <c r="G108" s="132"/>
      <c r="H108" s="132"/>
      <c r="I108" s="132"/>
      <c r="J108" s="132"/>
      <c r="K108" s="132"/>
      <c r="L108" s="132"/>
      <c r="M108" s="132"/>
      <c r="N108" s="132"/>
      <c r="O108" s="133"/>
      <c r="P108" s="133"/>
      <c r="Q108" s="133"/>
      <c r="R108" s="74"/>
      <c r="S108" s="74"/>
      <c r="T108" s="74"/>
      <c r="U108" s="131"/>
      <c r="V108" s="74"/>
      <c r="W108" s="131"/>
      <c r="X108" s="131"/>
      <c r="Y108" s="131"/>
      <c r="Z108" s="131"/>
      <c r="AA108" s="131"/>
      <c r="AB108" s="131"/>
    </row>
    <row r="109" spans="2:28" x14ac:dyDescent="0.25">
      <c r="B109" s="131"/>
      <c r="C109" s="131"/>
      <c r="D109" s="132"/>
      <c r="E109" s="132"/>
      <c r="F109" s="132"/>
      <c r="G109" s="132"/>
      <c r="H109" s="132"/>
      <c r="I109" s="132"/>
      <c r="J109" s="132"/>
      <c r="K109" s="132"/>
      <c r="L109" s="132"/>
      <c r="M109" s="132"/>
      <c r="N109" s="132"/>
      <c r="O109" s="133"/>
      <c r="P109" s="133"/>
      <c r="Q109" s="133"/>
      <c r="R109" s="74"/>
      <c r="S109" s="74"/>
      <c r="T109" s="74"/>
      <c r="U109" s="131"/>
      <c r="V109" s="74"/>
      <c r="W109" s="131"/>
      <c r="X109" s="131"/>
      <c r="Y109" s="131"/>
      <c r="Z109" s="131"/>
      <c r="AA109" s="131"/>
      <c r="AB109" s="131"/>
    </row>
    <row r="110" spans="2:28" x14ac:dyDescent="0.25">
      <c r="B110" s="131"/>
      <c r="C110" s="131"/>
      <c r="D110" s="132"/>
      <c r="E110" s="132"/>
      <c r="F110" s="132"/>
      <c r="G110" s="132"/>
      <c r="H110" s="132"/>
      <c r="I110" s="132"/>
      <c r="J110" s="132"/>
      <c r="K110" s="132"/>
      <c r="L110" s="132"/>
      <c r="M110" s="132"/>
      <c r="N110" s="132"/>
      <c r="O110" s="133"/>
      <c r="P110" s="133"/>
      <c r="Q110" s="133"/>
      <c r="R110" s="74"/>
      <c r="S110" s="74"/>
      <c r="T110" s="74"/>
      <c r="U110" s="131"/>
      <c r="V110" s="74"/>
      <c r="W110" s="131"/>
      <c r="X110" s="131"/>
      <c r="Y110" s="131"/>
      <c r="Z110" s="131"/>
      <c r="AA110" s="131"/>
      <c r="AB110" s="131"/>
    </row>
    <row r="111" spans="2:28" x14ac:dyDescent="0.25">
      <c r="B111" s="131"/>
      <c r="C111" s="131"/>
      <c r="D111" s="132"/>
      <c r="E111" s="132"/>
      <c r="F111" s="132"/>
      <c r="G111" s="132"/>
      <c r="H111" s="132"/>
      <c r="I111" s="132"/>
      <c r="J111" s="132"/>
      <c r="K111" s="132"/>
      <c r="L111" s="132"/>
      <c r="M111" s="132"/>
      <c r="N111" s="132"/>
      <c r="O111" s="133"/>
      <c r="P111" s="133"/>
      <c r="Q111" s="133"/>
      <c r="R111" s="74"/>
      <c r="S111" s="74"/>
      <c r="T111" s="74"/>
      <c r="U111" s="131"/>
      <c r="V111" s="74"/>
      <c r="W111" s="131"/>
      <c r="X111" s="131"/>
      <c r="Y111" s="131"/>
      <c r="Z111" s="131"/>
      <c r="AA111" s="131"/>
      <c r="AB111" s="131"/>
    </row>
    <row r="112" spans="2:28" x14ac:dyDescent="0.25">
      <c r="B112" s="131"/>
      <c r="C112" s="131"/>
      <c r="D112" s="132"/>
      <c r="E112" s="132"/>
      <c r="F112" s="132"/>
      <c r="G112" s="132"/>
      <c r="H112" s="132"/>
      <c r="I112" s="132"/>
      <c r="J112" s="132"/>
      <c r="K112" s="132"/>
      <c r="L112" s="132"/>
      <c r="M112" s="132"/>
      <c r="N112" s="132"/>
      <c r="O112" s="133"/>
      <c r="P112" s="133"/>
      <c r="Q112" s="133"/>
      <c r="R112" s="74"/>
      <c r="S112" s="74"/>
      <c r="T112" s="74"/>
      <c r="U112" s="131"/>
      <c r="V112" s="74"/>
      <c r="W112" s="131"/>
      <c r="X112" s="131"/>
      <c r="Y112" s="131"/>
      <c r="Z112" s="131"/>
      <c r="AA112" s="131"/>
      <c r="AB112" s="131"/>
    </row>
    <row r="113" spans="2:28" x14ac:dyDescent="0.25">
      <c r="B113" s="131"/>
      <c r="C113" s="131"/>
      <c r="D113" s="132"/>
      <c r="E113" s="132"/>
      <c r="F113" s="132"/>
      <c r="G113" s="132"/>
      <c r="H113" s="132"/>
      <c r="I113" s="132"/>
      <c r="J113" s="132"/>
      <c r="K113" s="132"/>
      <c r="L113" s="132"/>
      <c r="M113" s="132"/>
      <c r="N113" s="132"/>
      <c r="O113" s="133"/>
      <c r="P113" s="133"/>
      <c r="Q113" s="133"/>
      <c r="R113" s="74"/>
      <c r="S113" s="74"/>
      <c r="T113" s="74"/>
      <c r="U113" s="131"/>
      <c r="V113" s="74"/>
      <c r="W113" s="131"/>
      <c r="X113" s="131"/>
      <c r="Y113" s="131"/>
      <c r="Z113" s="131"/>
      <c r="AA113" s="131"/>
      <c r="AB113" s="131"/>
    </row>
    <row r="114" spans="2:28" x14ac:dyDescent="0.25">
      <c r="B114" s="131"/>
      <c r="C114" s="131"/>
      <c r="D114" s="132"/>
      <c r="E114" s="132"/>
      <c r="F114" s="132"/>
      <c r="G114" s="132"/>
      <c r="H114" s="132"/>
      <c r="I114" s="132"/>
      <c r="J114" s="132"/>
      <c r="K114" s="132"/>
      <c r="L114" s="132"/>
      <c r="M114" s="132"/>
      <c r="N114" s="132"/>
      <c r="O114" s="133"/>
      <c r="P114" s="133"/>
      <c r="Q114" s="133"/>
      <c r="R114" s="74"/>
      <c r="S114" s="74"/>
      <c r="T114" s="74"/>
      <c r="U114" s="131"/>
      <c r="V114" s="74"/>
      <c r="W114" s="131"/>
      <c r="X114" s="131"/>
      <c r="Y114" s="131"/>
      <c r="Z114" s="131"/>
      <c r="AA114" s="131"/>
      <c r="AB114" s="131"/>
    </row>
    <row r="115" spans="2:28" x14ac:dyDescent="0.25">
      <c r="B115" s="131"/>
      <c r="C115" s="131"/>
      <c r="D115" s="132"/>
      <c r="E115" s="132"/>
      <c r="F115" s="132"/>
      <c r="G115" s="132"/>
      <c r="H115" s="132"/>
      <c r="I115" s="132"/>
      <c r="J115" s="132"/>
      <c r="K115" s="132"/>
      <c r="L115" s="132"/>
      <c r="M115" s="132"/>
      <c r="N115" s="132"/>
      <c r="O115" s="133"/>
      <c r="P115" s="133"/>
      <c r="Q115" s="133"/>
      <c r="R115" s="74"/>
      <c r="S115" s="74"/>
      <c r="T115" s="74"/>
      <c r="U115" s="131"/>
      <c r="V115" s="74"/>
      <c r="W115" s="131"/>
      <c r="X115" s="131"/>
      <c r="Y115" s="131"/>
      <c r="Z115" s="131"/>
      <c r="AA115" s="131"/>
      <c r="AB115" s="131"/>
    </row>
    <row r="116" spans="2:28" x14ac:dyDescent="0.25">
      <c r="B116" s="37">
        <f>'[1]Informe Dia'!B102</f>
        <v>8029543</v>
      </c>
      <c r="C116" s="131"/>
      <c r="D116" s="132"/>
      <c r="E116" s="132"/>
      <c r="F116" s="132"/>
      <c r="G116" s="132"/>
      <c r="H116" s="132"/>
      <c r="I116" s="132"/>
      <c r="J116" s="132"/>
      <c r="K116" s="132"/>
      <c r="L116" s="132"/>
      <c r="M116" s="132"/>
      <c r="N116" s="132"/>
      <c r="O116" s="134">
        <f>'[1]Informe Dia'!L102</f>
        <v>2000</v>
      </c>
      <c r="P116" s="133"/>
      <c r="Q116" s="133"/>
      <c r="R116" s="74"/>
      <c r="S116" s="74"/>
      <c r="T116" s="74"/>
      <c r="U116" s="131"/>
      <c r="V116" s="74"/>
      <c r="W116" s="131"/>
      <c r="X116" s="131"/>
      <c r="Y116" s="131"/>
      <c r="Z116" s="131"/>
      <c r="AA116" s="131"/>
      <c r="AB116" s="131"/>
    </row>
    <row r="117" spans="2:28" x14ac:dyDescent="0.25">
      <c r="B117" s="37">
        <f>'[1]Informe Dia'!B103</f>
        <v>8032993</v>
      </c>
      <c r="C117" s="131"/>
      <c r="D117" s="132"/>
      <c r="E117" s="132"/>
      <c r="F117" s="132"/>
      <c r="G117" s="132"/>
      <c r="H117" s="132"/>
      <c r="I117" s="132"/>
      <c r="J117" s="132"/>
      <c r="K117" s="132"/>
      <c r="L117" s="132"/>
      <c r="M117" s="132"/>
      <c r="N117" s="132"/>
      <c r="O117" s="134">
        <f>'[1]Informe Dia'!L103</f>
        <v>2000</v>
      </c>
      <c r="P117" s="133"/>
      <c r="Q117" s="133"/>
      <c r="R117" s="74"/>
      <c r="S117" s="74"/>
      <c r="T117" s="74"/>
      <c r="U117" s="131"/>
      <c r="V117" s="74"/>
      <c r="W117" s="131"/>
      <c r="X117" s="131"/>
      <c r="Y117" s="131"/>
      <c r="Z117" s="131"/>
      <c r="AA117" s="131"/>
      <c r="AB117" s="131"/>
    </row>
    <row r="118" spans="2:28" x14ac:dyDescent="0.25">
      <c r="B118" s="37">
        <f>'[1]Informe Dia'!B104</f>
        <v>8042947</v>
      </c>
      <c r="C118" s="131"/>
      <c r="D118" s="132"/>
      <c r="E118" s="132"/>
      <c r="F118" s="132"/>
      <c r="G118" s="132"/>
      <c r="H118" s="132"/>
      <c r="I118" s="132"/>
      <c r="J118" s="132"/>
      <c r="K118" s="132"/>
      <c r="L118" s="132"/>
      <c r="M118" s="132"/>
      <c r="N118" s="132"/>
      <c r="O118" s="134">
        <f>'[1]Informe Dia'!L104</f>
        <v>2000</v>
      </c>
      <c r="P118" s="133"/>
      <c r="Q118" s="133"/>
      <c r="R118" s="74"/>
      <c r="S118" s="74"/>
      <c r="T118" s="74"/>
      <c r="U118" s="131"/>
      <c r="V118" s="74"/>
      <c r="W118" s="131"/>
      <c r="X118" s="131"/>
      <c r="Y118" s="131"/>
      <c r="Z118" s="131"/>
      <c r="AA118" s="131"/>
      <c r="AB118" s="131"/>
    </row>
    <row r="119" spans="2:28" x14ac:dyDescent="0.25">
      <c r="B119" s="37">
        <f>'[1]Informe Dia'!B105</f>
        <v>8040739</v>
      </c>
      <c r="C119" s="131"/>
      <c r="D119" s="132"/>
      <c r="E119" s="132"/>
      <c r="F119" s="132"/>
      <c r="G119" s="132"/>
      <c r="H119" s="132"/>
      <c r="I119" s="132"/>
      <c r="J119" s="132"/>
      <c r="K119" s="132"/>
      <c r="L119" s="132"/>
      <c r="M119" s="132"/>
      <c r="N119" s="132"/>
      <c r="O119" s="134">
        <f>'[1]Informe Dia'!L105</f>
        <v>2000</v>
      </c>
      <c r="P119" s="133"/>
      <c r="Q119" s="133"/>
      <c r="R119" s="74"/>
      <c r="S119" s="74"/>
      <c r="T119" s="74"/>
      <c r="U119" s="131"/>
      <c r="V119" s="74"/>
      <c r="W119" s="131"/>
      <c r="X119" s="131"/>
      <c r="Y119" s="131"/>
      <c r="Z119" s="131"/>
      <c r="AA119" s="131"/>
      <c r="AB119" s="131"/>
    </row>
    <row r="120" spans="2:28" x14ac:dyDescent="0.25">
      <c r="B120" s="37">
        <f>'[1]Informe Dia'!B106</f>
        <v>8040740</v>
      </c>
      <c r="C120" s="131"/>
      <c r="D120" s="132"/>
      <c r="E120" s="132"/>
      <c r="F120" s="132"/>
      <c r="G120" s="132"/>
      <c r="H120" s="132"/>
      <c r="I120" s="132"/>
      <c r="J120" s="132"/>
      <c r="K120" s="132"/>
      <c r="L120" s="132"/>
      <c r="M120" s="132"/>
      <c r="N120" s="132"/>
      <c r="O120" s="134">
        <f>'[1]Informe Dia'!L106</f>
        <v>2000</v>
      </c>
      <c r="P120" s="133"/>
      <c r="Q120" s="133"/>
      <c r="R120" s="74"/>
      <c r="S120" s="74"/>
      <c r="T120" s="74"/>
      <c r="U120" s="131"/>
      <c r="V120" s="74"/>
      <c r="W120" s="131"/>
      <c r="X120" s="131"/>
      <c r="Y120" s="131"/>
      <c r="Z120" s="131"/>
      <c r="AA120" s="131"/>
      <c r="AB120" s="131"/>
    </row>
    <row r="121" spans="2:28" x14ac:dyDescent="0.25">
      <c r="B121" s="37">
        <f>'[1]Informe Dia'!B107</f>
        <v>8039821</v>
      </c>
      <c r="C121" s="131"/>
      <c r="D121" s="132"/>
      <c r="E121" s="132"/>
      <c r="F121" s="132"/>
      <c r="G121" s="132"/>
      <c r="H121" s="132"/>
      <c r="I121" s="132"/>
      <c r="J121" s="132"/>
      <c r="K121" s="132"/>
      <c r="L121" s="132"/>
      <c r="M121" s="132"/>
      <c r="N121" s="132"/>
      <c r="O121" s="134">
        <f>'[1]Informe Dia'!L107</f>
        <v>3000</v>
      </c>
      <c r="P121" s="133"/>
      <c r="Q121" s="133"/>
      <c r="R121" s="74"/>
      <c r="S121" s="74"/>
      <c r="T121" s="74"/>
      <c r="U121" s="131"/>
      <c r="V121" s="74"/>
      <c r="W121" s="131"/>
      <c r="X121" s="131"/>
      <c r="Y121" s="131"/>
      <c r="Z121" s="131"/>
      <c r="AA121" s="131"/>
      <c r="AB121" s="131"/>
    </row>
    <row r="122" spans="2:28" x14ac:dyDescent="0.25">
      <c r="B122" s="37">
        <f>'[1]Informe Dia'!B108</f>
        <v>0</v>
      </c>
      <c r="C122" s="131"/>
      <c r="D122" s="132"/>
      <c r="E122" s="132"/>
      <c r="F122" s="132"/>
      <c r="G122" s="132"/>
      <c r="H122" s="132"/>
      <c r="I122" s="132"/>
      <c r="J122" s="132"/>
      <c r="K122" s="132"/>
      <c r="L122" s="132"/>
      <c r="M122" s="132"/>
      <c r="N122" s="132"/>
      <c r="O122" s="134">
        <f>'[1]Informe Dia'!L108</f>
        <v>2000</v>
      </c>
      <c r="P122" s="133"/>
      <c r="Q122" s="133"/>
      <c r="R122" s="74"/>
      <c r="S122" s="74"/>
      <c r="T122" s="74"/>
      <c r="U122" s="131"/>
      <c r="V122" s="74"/>
      <c r="W122" s="131"/>
      <c r="X122" s="131"/>
      <c r="Y122" s="131"/>
      <c r="Z122" s="131"/>
      <c r="AA122" s="131"/>
      <c r="AB122" s="131"/>
    </row>
    <row r="123" spans="2:28" x14ac:dyDescent="0.25">
      <c r="B123" s="37">
        <f>'[1]Informe Dia'!B109</f>
        <v>0</v>
      </c>
      <c r="C123" s="131"/>
      <c r="D123" s="132"/>
      <c r="E123" s="132"/>
      <c r="F123" s="132"/>
      <c r="G123" s="132"/>
      <c r="H123" s="132"/>
      <c r="I123" s="132"/>
      <c r="J123" s="132"/>
      <c r="K123" s="132"/>
      <c r="L123" s="132"/>
      <c r="M123" s="132"/>
      <c r="N123" s="132"/>
      <c r="O123" s="134">
        <f>'[1]Informe Dia'!L109</f>
        <v>1000</v>
      </c>
      <c r="P123" s="133"/>
      <c r="Q123" s="133"/>
      <c r="R123" s="74"/>
      <c r="S123" s="74"/>
      <c r="T123" s="74"/>
      <c r="U123" s="131"/>
      <c r="V123" s="74"/>
      <c r="W123" s="131"/>
      <c r="X123" s="131"/>
      <c r="Y123" s="131"/>
      <c r="Z123" s="131"/>
      <c r="AA123" s="131"/>
      <c r="AB123" s="131"/>
    </row>
    <row r="124" spans="2:28" x14ac:dyDescent="0.25">
      <c r="B124" s="37">
        <f>'[1]Informe Dia'!B110</f>
        <v>8042767</v>
      </c>
      <c r="C124" s="131"/>
      <c r="D124" s="132"/>
      <c r="E124" s="132"/>
      <c r="F124" s="132"/>
      <c r="G124" s="132"/>
      <c r="H124" s="132"/>
      <c r="I124" s="132"/>
      <c r="J124" s="132"/>
      <c r="K124" s="132"/>
      <c r="L124" s="132"/>
      <c r="M124" s="132"/>
      <c r="N124" s="132"/>
      <c r="O124" s="134">
        <f>'[1]Informe Dia'!L110</f>
        <v>2000</v>
      </c>
      <c r="P124" s="133"/>
      <c r="Q124" s="133"/>
      <c r="R124" s="74"/>
      <c r="S124" s="74"/>
      <c r="T124" s="74"/>
      <c r="U124" s="131"/>
      <c r="V124" s="74"/>
      <c r="W124" s="131"/>
      <c r="X124" s="131"/>
      <c r="Y124" s="131"/>
      <c r="Z124" s="131"/>
      <c r="AA124" s="131"/>
      <c r="AB124" s="131"/>
    </row>
    <row r="125" spans="2:28" x14ac:dyDescent="0.25">
      <c r="B125" s="37">
        <f>'[1]Informe Dia'!B111</f>
        <v>8043064</v>
      </c>
      <c r="C125" s="131"/>
      <c r="D125" s="132"/>
      <c r="E125" s="132"/>
      <c r="F125" s="132"/>
      <c r="G125" s="132"/>
      <c r="H125" s="132"/>
      <c r="I125" s="132"/>
      <c r="J125" s="132"/>
      <c r="K125" s="132"/>
      <c r="L125" s="132"/>
      <c r="M125" s="132"/>
      <c r="N125" s="132"/>
      <c r="O125" s="134">
        <f>'[1]Informe Dia'!L111</f>
        <v>2000</v>
      </c>
      <c r="P125" s="133"/>
      <c r="Q125" s="133"/>
      <c r="R125" s="74"/>
      <c r="S125" s="74"/>
      <c r="T125" s="74"/>
      <c r="U125" s="131"/>
      <c r="V125" s="74"/>
      <c r="W125" s="131"/>
      <c r="X125" s="131"/>
      <c r="Y125" s="131"/>
      <c r="Z125" s="131"/>
      <c r="AA125" s="131"/>
      <c r="AB125" s="131"/>
    </row>
    <row r="126" spans="2:28" x14ac:dyDescent="0.25">
      <c r="B126" s="37">
        <f>'[1]Informe Dia'!B112</f>
        <v>8043535</v>
      </c>
      <c r="C126" s="131"/>
      <c r="D126" s="132"/>
      <c r="E126" s="132"/>
      <c r="F126" s="132"/>
      <c r="G126" s="132"/>
      <c r="H126" s="132"/>
      <c r="I126" s="132"/>
      <c r="J126" s="132"/>
      <c r="K126" s="132"/>
      <c r="L126" s="132"/>
      <c r="M126" s="132"/>
      <c r="N126" s="132"/>
      <c r="O126" s="134">
        <f>'[1]Informe Dia'!L112</f>
        <v>2000</v>
      </c>
      <c r="P126" s="133"/>
      <c r="Q126" s="133"/>
      <c r="R126" s="74"/>
      <c r="S126" s="74"/>
      <c r="T126" s="74"/>
      <c r="U126" s="131"/>
      <c r="V126" s="74"/>
      <c r="W126" s="131"/>
      <c r="X126" s="131"/>
      <c r="Y126" s="131"/>
      <c r="Z126" s="131"/>
      <c r="AA126" s="131"/>
      <c r="AB126" s="131"/>
    </row>
    <row r="127" spans="2:28" x14ac:dyDescent="0.25">
      <c r="B127" s="37">
        <f>'[1]Informe Dia'!B113</f>
        <v>8040551</v>
      </c>
      <c r="C127" s="131"/>
      <c r="D127" s="132"/>
      <c r="E127" s="132"/>
      <c r="F127" s="132"/>
      <c r="G127" s="132"/>
      <c r="H127" s="132"/>
      <c r="I127" s="132"/>
      <c r="J127" s="132"/>
      <c r="K127" s="132"/>
      <c r="L127" s="132"/>
      <c r="M127" s="132"/>
      <c r="N127" s="132"/>
      <c r="O127" s="134">
        <f>'[1]Informe Dia'!L113</f>
        <v>3000</v>
      </c>
      <c r="P127" s="133"/>
      <c r="Q127" s="133"/>
      <c r="R127" s="74"/>
      <c r="S127" s="74"/>
      <c r="T127" s="74"/>
      <c r="U127" s="131"/>
      <c r="V127" s="74"/>
      <c r="W127" s="131"/>
      <c r="X127" s="131"/>
      <c r="Y127" s="131"/>
      <c r="Z127" s="131"/>
      <c r="AA127" s="131"/>
      <c r="AB127" s="131"/>
    </row>
    <row r="128" spans="2:28" x14ac:dyDescent="0.25">
      <c r="B128" s="37">
        <f>'[1]Informe Dia'!B114</f>
        <v>8040552</v>
      </c>
      <c r="C128" s="131"/>
      <c r="D128" s="132"/>
      <c r="E128" s="132"/>
      <c r="F128" s="132"/>
      <c r="G128" s="132"/>
      <c r="H128" s="132"/>
      <c r="I128" s="132"/>
      <c r="J128" s="132"/>
      <c r="K128" s="132"/>
      <c r="L128" s="132"/>
      <c r="M128" s="132"/>
      <c r="N128" s="132"/>
      <c r="O128" s="134">
        <f>'[1]Informe Dia'!L114</f>
        <v>2000</v>
      </c>
      <c r="P128" s="133"/>
      <c r="Q128" s="133"/>
      <c r="R128" s="74"/>
      <c r="S128" s="74"/>
      <c r="T128" s="74"/>
      <c r="U128" s="131"/>
      <c r="V128" s="74"/>
      <c r="W128" s="131"/>
      <c r="X128" s="131"/>
      <c r="Y128" s="131"/>
      <c r="Z128" s="131"/>
      <c r="AA128" s="131"/>
      <c r="AB128" s="131"/>
    </row>
    <row r="129" spans="2:28" x14ac:dyDescent="0.25">
      <c r="B129" s="37">
        <f>'[1]Informe Dia'!B115</f>
        <v>8044205</v>
      </c>
      <c r="C129" s="131"/>
      <c r="D129" s="132"/>
      <c r="E129" s="132"/>
      <c r="F129" s="132"/>
      <c r="G129" s="132"/>
      <c r="H129" s="132"/>
      <c r="I129" s="132"/>
      <c r="J129" s="132"/>
      <c r="K129" s="132"/>
      <c r="L129" s="132"/>
      <c r="M129" s="132"/>
      <c r="N129" s="132"/>
      <c r="O129" s="134" t="e">
        <f>'[1]Informe Dia'!L115</f>
        <v>#N/A</v>
      </c>
      <c r="P129" s="133"/>
      <c r="Q129" s="133"/>
      <c r="R129" s="74"/>
      <c r="S129" s="74"/>
      <c r="T129" s="74"/>
      <c r="U129" s="131"/>
      <c r="V129" s="74"/>
      <c r="W129" s="131"/>
      <c r="X129" s="131"/>
      <c r="Y129" s="131"/>
      <c r="Z129" s="131"/>
      <c r="AA129" s="131"/>
      <c r="AB129" s="131"/>
    </row>
    <row r="130" spans="2:28" x14ac:dyDescent="0.25">
      <c r="B130" s="37">
        <f>'[1]Informe Dia'!B116</f>
        <v>8032595</v>
      </c>
      <c r="C130" s="131"/>
      <c r="D130" s="132"/>
      <c r="E130" s="132"/>
      <c r="F130" s="132"/>
      <c r="G130" s="132"/>
      <c r="H130" s="132"/>
      <c r="I130" s="132"/>
      <c r="J130" s="132"/>
      <c r="K130" s="132"/>
      <c r="L130" s="132"/>
      <c r="M130" s="132"/>
      <c r="N130" s="132"/>
      <c r="O130" s="134">
        <f>'[1]Informe Dia'!L116</f>
        <v>1000</v>
      </c>
      <c r="P130" s="133"/>
      <c r="Q130" s="133"/>
      <c r="R130" s="74"/>
      <c r="S130" s="74"/>
      <c r="T130" s="74"/>
      <c r="U130" s="131"/>
      <c r="V130" s="74"/>
      <c r="W130" s="131"/>
      <c r="X130" s="131"/>
      <c r="Y130" s="131"/>
      <c r="Z130" s="131"/>
      <c r="AA130" s="131"/>
      <c r="AB130" s="131"/>
    </row>
    <row r="131" spans="2:28" x14ac:dyDescent="0.25">
      <c r="B131" s="37">
        <f>'[1]Informe Dia'!B117</f>
        <v>8030428</v>
      </c>
      <c r="C131" s="131"/>
      <c r="D131" s="132"/>
      <c r="E131" s="132"/>
      <c r="F131" s="132"/>
      <c r="G131" s="132"/>
      <c r="H131" s="132"/>
      <c r="I131" s="132"/>
      <c r="J131" s="132"/>
      <c r="K131" s="132"/>
      <c r="L131" s="132"/>
      <c r="M131" s="132"/>
      <c r="N131" s="132"/>
      <c r="O131" s="134">
        <f>'[1]Informe Dia'!L117</f>
        <v>2000</v>
      </c>
      <c r="P131" s="133"/>
      <c r="Q131" s="133"/>
      <c r="R131" s="74"/>
      <c r="S131" s="74"/>
      <c r="T131" s="74"/>
      <c r="U131" s="131"/>
      <c r="V131" s="74"/>
      <c r="W131" s="131"/>
      <c r="X131" s="131"/>
      <c r="Y131" s="131"/>
      <c r="Z131" s="131"/>
      <c r="AA131" s="131"/>
      <c r="AB131" s="131"/>
    </row>
    <row r="132" spans="2:28" x14ac:dyDescent="0.25">
      <c r="B132" s="37">
        <f>'[1]Informe Dia'!B118</f>
        <v>8042711</v>
      </c>
      <c r="C132" s="131"/>
      <c r="D132" s="132"/>
      <c r="E132" s="132"/>
      <c r="F132" s="132"/>
      <c r="G132" s="132"/>
      <c r="H132" s="132"/>
      <c r="I132" s="132"/>
      <c r="J132" s="132"/>
      <c r="K132" s="132"/>
      <c r="L132" s="132"/>
      <c r="M132" s="132"/>
      <c r="N132" s="132"/>
      <c r="O132" s="134">
        <f>'[1]Informe Dia'!L118</f>
        <v>2000</v>
      </c>
      <c r="P132" s="133"/>
      <c r="Q132" s="133"/>
      <c r="R132" s="74"/>
      <c r="S132" s="74"/>
      <c r="T132" s="74"/>
      <c r="U132" s="131"/>
      <c r="V132" s="74"/>
      <c r="W132" s="131"/>
      <c r="X132" s="131"/>
      <c r="Y132" s="131"/>
      <c r="Z132" s="131"/>
      <c r="AA132" s="131"/>
      <c r="AB132" s="131"/>
    </row>
    <row r="133" spans="2:28" x14ac:dyDescent="0.25">
      <c r="B133" s="37">
        <f>'[1]Informe Dia'!B119</f>
        <v>8047694</v>
      </c>
      <c r="C133" s="131"/>
      <c r="D133" s="132"/>
      <c r="E133" s="132"/>
      <c r="F133" s="132"/>
      <c r="G133" s="132"/>
      <c r="H133" s="132"/>
      <c r="I133" s="132"/>
      <c r="J133" s="132"/>
      <c r="K133" s="132"/>
      <c r="L133" s="132"/>
      <c r="M133" s="132"/>
      <c r="N133" s="132"/>
      <c r="O133" s="134">
        <f>'[1]Informe Dia'!L119</f>
        <v>2000</v>
      </c>
      <c r="P133" s="133"/>
      <c r="Q133" s="133"/>
      <c r="R133" s="74"/>
      <c r="S133" s="74"/>
      <c r="T133" s="74"/>
      <c r="U133" s="131"/>
      <c r="V133" s="74"/>
      <c r="W133" s="131"/>
      <c r="X133" s="131"/>
      <c r="Y133" s="131"/>
      <c r="Z133" s="131"/>
      <c r="AA133" s="131"/>
      <c r="AB133" s="131"/>
    </row>
    <row r="134" spans="2:28" x14ac:dyDescent="0.25">
      <c r="B134" s="37">
        <f>'[1]Informe Dia'!B120</f>
        <v>8047695</v>
      </c>
      <c r="C134" s="131"/>
      <c r="D134" s="132"/>
      <c r="E134" s="132"/>
      <c r="F134" s="132"/>
      <c r="G134" s="132"/>
      <c r="H134" s="132"/>
      <c r="I134" s="132"/>
      <c r="J134" s="132"/>
      <c r="K134" s="132"/>
      <c r="L134" s="132"/>
      <c r="M134" s="132"/>
      <c r="N134" s="132"/>
      <c r="O134" s="134">
        <f>'[1]Informe Dia'!L120</f>
        <v>2000</v>
      </c>
      <c r="P134" s="133"/>
      <c r="Q134" s="133"/>
      <c r="R134" s="74"/>
      <c r="S134" s="74"/>
      <c r="T134" s="74"/>
      <c r="U134" s="131"/>
      <c r="V134" s="74"/>
      <c r="W134" s="131"/>
      <c r="X134" s="131"/>
      <c r="Y134" s="131"/>
      <c r="Z134" s="131"/>
      <c r="AA134" s="131"/>
      <c r="AB134" s="131"/>
    </row>
    <row r="135" spans="2:28" x14ac:dyDescent="0.25">
      <c r="B135" s="37">
        <f>'[1]Informe Dia'!B121</f>
        <v>8040384</v>
      </c>
      <c r="C135" s="131"/>
      <c r="D135" s="132"/>
      <c r="E135" s="132"/>
      <c r="F135" s="132"/>
      <c r="G135" s="132"/>
      <c r="H135" s="132"/>
      <c r="I135" s="132"/>
      <c r="J135" s="132"/>
      <c r="K135" s="132"/>
      <c r="L135" s="132"/>
      <c r="M135" s="132"/>
      <c r="N135" s="132"/>
      <c r="O135" s="134">
        <f>'[1]Informe Dia'!L121</f>
        <v>2000</v>
      </c>
      <c r="P135" s="133"/>
      <c r="Q135" s="133"/>
      <c r="R135" s="74"/>
      <c r="S135" s="74"/>
      <c r="T135" s="74"/>
      <c r="U135" s="131"/>
      <c r="V135" s="74"/>
      <c r="W135" s="131"/>
      <c r="X135" s="131"/>
      <c r="Y135" s="131"/>
      <c r="Z135" s="131"/>
      <c r="AA135" s="131"/>
      <c r="AB135" s="131"/>
    </row>
    <row r="136" spans="2:28" x14ac:dyDescent="0.25">
      <c r="B136" s="37">
        <f>'[1]Informe Dia'!B122</f>
        <v>8048676</v>
      </c>
      <c r="C136" s="131"/>
      <c r="D136" s="132"/>
      <c r="E136" s="132"/>
      <c r="F136" s="132"/>
      <c r="G136" s="132"/>
      <c r="H136" s="132"/>
      <c r="I136" s="132"/>
      <c r="J136" s="132"/>
      <c r="K136" s="132"/>
      <c r="L136" s="132"/>
      <c r="M136" s="132"/>
      <c r="N136" s="132"/>
      <c r="O136" s="134">
        <f>'[1]Informe Dia'!L122</f>
        <v>2000</v>
      </c>
      <c r="P136" s="133"/>
      <c r="Q136" s="133"/>
      <c r="R136" s="74"/>
      <c r="S136" s="74"/>
      <c r="T136" s="74"/>
      <c r="U136" s="131"/>
      <c r="V136" s="74"/>
      <c r="W136" s="131"/>
      <c r="X136" s="131"/>
      <c r="Y136" s="131"/>
      <c r="Z136" s="131"/>
      <c r="AA136" s="131"/>
      <c r="AB136" s="131"/>
    </row>
    <row r="137" spans="2:28" x14ac:dyDescent="0.25">
      <c r="B137" s="37">
        <f>'[1]Informe Dia'!B123</f>
        <v>8044820</v>
      </c>
      <c r="C137" s="131"/>
      <c r="D137" s="132"/>
      <c r="E137" s="132"/>
      <c r="F137" s="132"/>
      <c r="G137" s="132"/>
      <c r="H137" s="132"/>
      <c r="I137" s="132"/>
      <c r="J137" s="132"/>
      <c r="K137" s="132"/>
      <c r="L137" s="132"/>
      <c r="M137" s="132"/>
      <c r="N137" s="132"/>
      <c r="O137" s="134">
        <f>'[1]Informe Dia'!L123</f>
        <v>3000</v>
      </c>
      <c r="P137" s="133"/>
      <c r="Q137" s="133"/>
      <c r="R137" s="74"/>
      <c r="S137" s="74"/>
      <c r="T137" s="74"/>
      <c r="U137" s="131"/>
      <c r="V137" s="74"/>
      <c r="W137" s="131"/>
      <c r="X137" s="131"/>
      <c r="Y137" s="131"/>
      <c r="Z137" s="131"/>
      <c r="AA137" s="131"/>
      <c r="AB137" s="131"/>
    </row>
    <row r="138" spans="2:28" x14ac:dyDescent="0.25">
      <c r="B138" s="37">
        <f>'[1]Informe Dia'!B124</f>
        <v>8043534</v>
      </c>
      <c r="C138" s="131"/>
      <c r="D138" s="132"/>
      <c r="E138" s="132"/>
      <c r="F138" s="132"/>
      <c r="G138" s="132"/>
      <c r="H138" s="132"/>
      <c r="I138" s="132"/>
      <c r="J138" s="132"/>
      <c r="K138" s="132"/>
      <c r="L138" s="132"/>
      <c r="M138" s="132"/>
      <c r="N138" s="132"/>
      <c r="O138" s="134">
        <f>'[1]Informe Dia'!L124</f>
        <v>2000</v>
      </c>
      <c r="P138" s="133"/>
      <c r="Q138" s="133"/>
      <c r="R138" s="74"/>
      <c r="S138" s="74"/>
      <c r="T138" s="74"/>
      <c r="U138" s="131"/>
      <c r="V138" s="74"/>
      <c r="W138" s="131"/>
      <c r="X138" s="131"/>
      <c r="Y138" s="131"/>
      <c r="Z138" s="131"/>
      <c r="AA138" s="131"/>
      <c r="AB138" s="131"/>
    </row>
    <row r="139" spans="2:28" x14ac:dyDescent="0.25">
      <c r="B139" s="37">
        <f>'[1]Informe Dia'!B125</f>
        <v>0</v>
      </c>
      <c r="C139" s="131"/>
      <c r="D139" s="132"/>
      <c r="E139" s="132"/>
      <c r="F139" s="132"/>
      <c r="G139" s="132"/>
      <c r="H139" s="132"/>
      <c r="I139" s="132"/>
      <c r="J139" s="132"/>
      <c r="K139" s="132"/>
      <c r="L139" s="132"/>
      <c r="M139" s="132"/>
      <c r="N139" s="132"/>
      <c r="O139" s="134">
        <f>'[1]Informe Dia'!L125</f>
        <v>0</v>
      </c>
      <c r="P139" s="133"/>
      <c r="Q139" s="133"/>
      <c r="R139" s="74"/>
      <c r="S139" s="74"/>
      <c r="T139" s="74"/>
      <c r="U139" s="131"/>
      <c r="V139" s="74"/>
      <c r="W139" s="131"/>
      <c r="X139" s="131"/>
      <c r="Y139" s="131"/>
      <c r="Z139" s="131"/>
      <c r="AA139" s="131"/>
      <c r="AB139" s="131"/>
    </row>
    <row r="140" spans="2:28" x14ac:dyDescent="0.25">
      <c r="B140" s="37">
        <f>'[1]Informe Dia'!B126</f>
        <v>0</v>
      </c>
      <c r="C140" s="131"/>
      <c r="D140" s="132"/>
      <c r="E140" s="132"/>
      <c r="F140" s="132"/>
      <c r="G140" s="132"/>
      <c r="H140" s="132"/>
      <c r="I140" s="132"/>
      <c r="J140" s="132"/>
      <c r="K140" s="132"/>
      <c r="L140" s="132"/>
      <c r="M140" s="132"/>
      <c r="N140" s="132"/>
      <c r="O140" s="134">
        <f>'[1]Informe Dia'!L126</f>
        <v>0</v>
      </c>
      <c r="P140" s="133"/>
      <c r="Q140" s="133"/>
      <c r="R140" s="74"/>
      <c r="S140" s="74"/>
      <c r="T140" s="74"/>
      <c r="U140" s="131"/>
      <c r="V140" s="74"/>
      <c r="W140" s="131"/>
      <c r="X140" s="131"/>
      <c r="Y140" s="131"/>
      <c r="Z140" s="131"/>
      <c r="AA140" s="131"/>
      <c r="AB140" s="131"/>
    </row>
    <row r="141" spans="2:28" x14ac:dyDescent="0.25">
      <c r="B141" s="37">
        <f>'[1]Informe Dia'!B127</f>
        <v>0</v>
      </c>
      <c r="C141" s="131"/>
      <c r="D141" s="132"/>
      <c r="E141" s="132"/>
      <c r="F141" s="132"/>
      <c r="G141" s="132"/>
      <c r="H141" s="132"/>
      <c r="I141" s="132"/>
      <c r="J141" s="132"/>
      <c r="K141" s="132"/>
      <c r="L141" s="132"/>
      <c r="M141" s="132"/>
      <c r="N141" s="132"/>
      <c r="O141" s="134">
        <f>'[1]Informe Dia'!L127</f>
        <v>0</v>
      </c>
      <c r="P141" s="133"/>
      <c r="Q141" s="133"/>
      <c r="R141" s="74"/>
      <c r="S141" s="74"/>
      <c r="T141" s="74"/>
      <c r="U141" s="131"/>
      <c r="V141" s="74"/>
      <c r="W141" s="131"/>
      <c r="X141" s="131"/>
      <c r="Y141" s="131"/>
      <c r="Z141" s="131"/>
      <c r="AA141" s="131"/>
      <c r="AB141" s="131"/>
    </row>
  </sheetData>
  <mergeCells count="3">
    <mergeCell ref="E6:I6"/>
    <mergeCell ref="J6:N6"/>
    <mergeCell ref="U6:AB6"/>
  </mergeCells>
  <conditionalFormatting sqref="B83:B115">
    <cfRule type="duplicateValues" dxfId="7" priority="6" stopIfTrue="1"/>
  </conditionalFormatting>
  <conditionalFormatting sqref="B6">
    <cfRule type="duplicateValues" dxfId="6" priority="5" stopIfTrue="1"/>
  </conditionalFormatting>
  <conditionalFormatting sqref="B7:B10">
    <cfRule type="duplicateValues" dxfId="5" priority="4" stopIfTrue="1"/>
  </conditionalFormatting>
  <conditionalFormatting sqref="B56:B58">
    <cfRule type="duplicateValues" dxfId="4" priority="3" stopIfTrue="1"/>
  </conditionalFormatting>
  <conditionalFormatting sqref="B14">
    <cfRule type="duplicateValues" dxfId="3" priority="2" stopIfTrue="1"/>
  </conditionalFormatting>
  <conditionalFormatting sqref="B11:B13 B59:B72 B74:B82 B15:B55">
    <cfRule type="duplicateValues" dxfId="2" priority="7" stopIfTrue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1:T52"/>
  <sheetViews>
    <sheetView showGridLines="0" tabSelected="1" zoomScale="80" zoomScaleNormal="80" workbookViewId="0">
      <selection activeCell="H4" sqref="H4"/>
    </sheetView>
  </sheetViews>
  <sheetFormatPr baseColWidth="10" defaultRowHeight="15" x14ac:dyDescent="0.25"/>
  <cols>
    <col min="3" max="3" width="10.7109375" style="48" bestFit="1" customWidth="1"/>
    <col min="4" max="4" width="14.140625" style="48" bestFit="1" customWidth="1"/>
    <col min="5" max="5" width="11" style="59" bestFit="1" customWidth="1"/>
    <col min="6" max="6" width="38" style="48" bestFit="1" customWidth="1"/>
    <col min="7" max="7" width="12.5703125" style="48" customWidth="1"/>
    <col min="8" max="8" width="14.42578125" style="48" customWidth="1"/>
    <col min="9" max="9" width="15.28515625" style="48" customWidth="1"/>
    <col min="10" max="10" width="29.42578125" style="48" bestFit="1" customWidth="1"/>
    <col min="11" max="11" width="14.5703125" customWidth="1"/>
    <col min="12" max="12" width="16.7109375" customWidth="1"/>
    <col min="13" max="13" width="53.85546875" customWidth="1"/>
    <col min="14" max="14" width="12.7109375" bestFit="1" customWidth="1"/>
    <col min="16" max="17" width="20.85546875" style="48" bestFit="1" customWidth="1"/>
    <col min="20" max="20" width="19" customWidth="1"/>
  </cols>
  <sheetData>
    <row r="1" spans="3:20" x14ac:dyDescent="0.25">
      <c r="R1" s="144">
        <v>2</v>
      </c>
    </row>
    <row r="2" spans="3:20" ht="15.75" thickBot="1" x14ac:dyDescent="0.3"/>
    <row r="3" spans="3:20" ht="45.75" thickBot="1" x14ac:dyDescent="0.3">
      <c r="C3" s="57" t="s">
        <v>1361</v>
      </c>
      <c r="D3" s="57" t="s">
        <v>1362</v>
      </c>
      <c r="E3" s="60" t="s">
        <v>1363</v>
      </c>
      <c r="F3" s="57" t="s">
        <v>1351</v>
      </c>
      <c r="G3" s="58" t="s">
        <v>1364</v>
      </c>
      <c r="H3" s="58" t="s">
        <v>1365</v>
      </c>
      <c r="I3" s="58" t="s">
        <v>1366</v>
      </c>
      <c r="J3" s="58" t="s">
        <v>1367</v>
      </c>
      <c r="K3" s="58" t="s">
        <v>1368</v>
      </c>
      <c r="L3" s="58" t="s">
        <v>1369</v>
      </c>
      <c r="M3" s="58" t="s">
        <v>1370</v>
      </c>
    </row>
    <row r="4" spans="3:20" ht="15.75" thickBot="1" x14ac:dyDescent="0.3">
      <c r="C4" s="55"/>
      <c r="D4" s="55"/>
      <c r="E4" s="61"/>
      <c r="F4" s="55"/>
      <c r="G4" s="55"/>
      <c r="H4" s="55"/>
      <c r="I4" s="55"/>
      <c r="J4" s="55" t="str">
        <f>IFERROR(IF(AND(H4="",I4=""),"",IF((H4-I4)&gt;0.001,"ERROR O PENDIENTE NOTIFICAR","OK")),"")</f>
        <v/>
      </c>
      <c r="K4" s="55">
        <f>IF((H4-INT(H4))&lt;0.5,ROUNDDOWN(H4,0),IF((H4-INT(H4))&gt;=0.5,ROUNDUP(H4,0),""))</f>
        <v>0</v>
      </c>
      <c r="L4" s="64"/>
      <c r="M4" s="64"/>
    </row>
    <row r="5" spans="3:20" ht="15.75" thickBot="1" x14ac:dyDescent="0.3">
      <c r="C5" s="55"/>
      <c r="D5" s="55"/>
      <c r="E5" s="61"/>
      <c r="F5" s="55"/>
      <c r="G5" s="55"/>
      <c r="H5" s="55"/>
      <c r="I5" s="55"/>
      <c r="J5" s="55" t="str">
        <f t="shared" ref="J5:J52" si="0">IFERROR(IF(AND(H5="",I5=""),"",IF((H5-I5)&gt;0.001,"ERROR O PENDIENTE NOTIFICAR","OK")),"")</f>
        <v/>
      </c>
      <c r="K5" s="55">
        <f>IF((H5-INT(H5))&lt;0.5,ROUNDDOWN(H5,0),IF((H5-INT(H5))&gt;=0.5,ROUNDUP(H5,0),""))</f>
        <v>0</v>
      </c>
      <c r="L5" s="64"/>
      <c r="M5" s="64"/>
      <c r="P5" s="63">
        <v>-26275873</v>
      </c>
      <c r="Q5" s="63">
        <v>-7806</v>
      </c>
      <c r="T5" s="152">
        <f>IF(P5&lt;0,P5*-1,P5)</f>
        <v>26275873</v>
      </c>
    </row>
    <row r="6" spans="3:20" ht="15.75" thickBot="1" x14ac:dyDescent="0.3">
      <c r="C6" s="55"/>
      <c r="D6" s="55"/>
      <c r="E6" s="61"/>
      <c r="F6" s="55"/>
      <c r="G6" s="55"/>
      <c r="H6" s="55"/>
      <c r="I6" s="55"/>
      <c r="J6" s="55" t="str">
        <f t="shared" si="0"/>
        <v/>
      </c>
      <c r="K6" s="55">
        <f t="shared" ref="K6:K52" si="1">IF((H6-INT(H6))&lt;0.5,ROUNDDOWN(H6,0),IF((H6-INT(H6))&gt;=0.5,ROUNDUP(H6,0),""))</f>
        <v>0</v>
      </c>
      <c r="L6" s="64"/>
      <c r="M6" s="64"/>
      <c r="P6" s="63">
        <v>-16886046</v>
      </c>
      <c r="Q6" s="63">
        <v>-7806</v>
      </c>
      <c r="T6" s="152"/>
    </row>
    <row r="7" spans="3:20" ht="21.75" thickBot="1" x14ac:dyDescent="0.4">
      <c r="C7" s="55"/>
      <c r="D7" s="55"/>
      <c r="E7" s="61"/>
      <c r="F7" s="55"/>
      <c r="G7" s="55"/>
      <c r="H7" s="55"/>
      <c r="I7" s="55"/>
      <c r="J7" s="55" t="str">
        <f t="shared" si="0"/>
        <v/>
      </c>
      <c r="K7" s="55">
        <f t="shared" si="1"/>
        <v>0</v>
      </c>
      <c r="L7" s="64"/>
      <c r="M7" s="64"/>
      <c r="N7" s="153" t="s">
        <v>1387</v>
      </c>
      <c r="O7" s="154"/>
      <c r="P7" s="63">
        <v>-16886046</v>
      </c>
      <c r="Q7" s="63">
        <v>-7806</v>
      </c>
      <c r="T7" s="62">
        <f>IF(P8&lt;0,P8*-1,P8)</f>
        <v>1396314</v>
      </c>
    </row>
    <row r="8" spans="3:20" ht="21.75" thickBot="1" x14ac:dyDescent="0.4">
      <c r="C8" s="55"/>
      <c r="D8" s="55"/>
      <c r="E8" s="61"/>
      <c r="F8" s="55"/>
      <c r="G8" s="55"/>
      <c r="H8" s="55"/>
      <c r="I8" s="55"/>
      <c r="J8" s="55" t="str">
        <f t="shared" si="0"/>
        <v/>
      </c>
      <c r="K8" s="55">
        <f t="shared" si="1"/>
        <v>0</v>
      </c>
      <c r="L8" s="64"/>
      <c r="M8" s="64"/>
      <c r="N8" s="153" t="s">
        <v>1388</v>
      </c>
      <c r="O8" s="154"/>
      <c r="P8" s="63">
        <v>-1396314</v>
      </c>
      <c r="Q8" s="63">
        <v>-37031</v>
      </c>
      <c r="T8" s="62">
        <f>IF(Q8&lt;0,Q8*-1,Q8)</f>
        <v>37031</v>
      </c>
    </row>
    <row r="9" spans="3:20" ht="15.75" thickBot="1" x14ac:dyDescent="0.3">
      <c r="C9" s="55"/>
      <c r="D9" s="55"/>
      <c r="E9" s="61"/>
      <c r="F9" s="55"/>
      <c r="G9" s="55"/>
      <c r="H9" s="55"/>
      <c r="I9" s="55"/>
      <c r="J9" s="55" t="str">
        <f t="shared" si="0"/>
        <v/>
      </c>
      <c r="K9" s="55">
        <f t="shared" si="1"/>
        <v>0</v>
      </c>
      <c r="L9" s="64"/>
      <c r="M9" s="64"/>
      <c r="P9" s="151">
        <f>(T7/T5)*100</f>
        <v>5.314053694809683</v>
      </c>
      <c r="Q9" s="151">
        <f>(T8/T5)*100</f>
        <v>0.14093156866757578</v>
      </c>
    </row>
    <row r="10" spans="3:20" ht="15.75" thickBot="1" x14ac:dyDescent="0.3">
      <c r="C10" s="55"/>
      <c r="D10" s="55"/>
      <c r="E10" s="61"/>
      <c r="F10" s="55"/>
      <c r="G10" s="55"/>
      <c r="H10" s="55"/>
      <c r="I10" s="55"/>
      <c r="J10" s="55" t="str">
        <f t="shared" si="0"/>
        <v/>
      </c>
      <c r="K10" s="55">
        <f t="shared" si="1"/>
        <v>0</v>
      </c>
      <c r="L10" s="64"/>
      <c r="M10" s="64"/>
      <c r="P10" s="151"/>
      <c r="Q10" s="151"/>
    </row>
    <row r="11" spans="3:20" ht="15.75" thickBot="1" x14ac:dyDescent="0.3">
      <c r="C11" s="55"/>
      <c r="D11" s="55"/>
      <c r="E11" s="61"/>
      <c r="F11" s="55"/>
      <c r="G11" s="56"/>
      <c r="H11" s="142"/>
      <c r="I11" s="142"/>
      <c r="J11" s="55" t="str">
        <f t="shared" si="0"/>
        <v/>
      </c>
      <c r="K11" s="55">
        <f t="shared" si="1"/>
        <v>0</v>
      </c>
      <c r="L11" s="64"/>
      <c r="M11" s="64"/>
      <c r="P11" s="141"/>
      <c r="T11" t="str">
        <f>IFERROR(IF(LEN(MID(P8,FIND(".",P8)+1,4))=0,P8&amp;"000",IF(LEN(MID(P8,FIND(".",P8)+1,4))=1,P8&amp;"00",IF(LEN(MID(P8,FIND(".",P8)+1,4))=2,P8&amp;"0","E"))),"E")</f>
        <v>E</v>
      </c>
    </row>
    <row r="12" spans="3:20" ht="15.75" thickBot="1" x14ac:dyDescent="0.3">
      <c r="C12" s="55"/>
      <c r="D12" s="55"/>
      <c r="E12" s="61"/>
      <c r="F12" s="55"/>
      <c r="G12" s="55"/>
      <c r="H12" s="55"/>
      <c r="I12" s="55"/>
      <c r="J12" s="55" t="str">
        <f t="shared" si="0"/>
        <v/>
      </c>
      <c r="K12" s="55">
        <f t="shared" si="1"/>
        <v>0</v>
      </c>
      <c r="L12" s="64"/>
      <c r="M12" s="64"/>
      <c r="T12" t="str">
        <f>IFERROR(IF(LEN(MID(Q8,FIND(".",Q8)+1,4))=0,Q8&amp;"000",IF(LEN(MID(Q8,FIND(".",Q8)+1,4))=1,Q8&amp;"00",IF(LEN(MID(Q8,FIND(".",Q8)+1,4))=2,Q8&amp;"0","E"))),"E")</f>
        <v>E</v>
      </c>
    </row>
    <row r="13" spans="3:20" ht="15.75" thickBot="1" x14ac:dyDescent="0.3">
      <c r="C13" s="55"/>
      <c r="D13" s="55"/>
      <c r="E13" s="61"/>
      <c r="F13" s="55"/>
      <c r="G13" s="55"/>
      <c r="H13" s="55"/>
      <c r="I13" s="55"/>
      <c r="J13" s="55" t="str">
        <f t="shared" si="0"/>
        <v/>
      </c>
      <c r="K13" s="55">
        <f t="shared" si="1"/>
        <v>0</v>
      </c>
      <c r="L13" s="64"/>
      <c r="M13" s="64"/>
    </row>
    <row r="14" spans="3:20" ht="15.75" thickBot="1" x14ac:dyDescent="0.3">
      <c r="C14" s="55"/>
      <c r="D14" s="55"/>
      <c r="E14" s="61"/>
      <c r="F14" s="55"/>
      <c r="G14" s="55"/>
      <c r="H14" s="55"/>
      <c r="I14" s="55"/>
      <c r="J14" s="55" t="str">
        <f t="shared" si="0"/>
        <v/>
      </c>
      <c r="K14" s="55">
        <f t="shared" si="1"/>
        <v>0</v>
      </c>
      <c r="L14" s="64"/>
      <c r="M14" s="64"/>
    </row>
    <row r="15" spans="3:20" ht="15.75" thickBot="1" x14ac:dyDescent="0.3">
      <c r="C15" s="55"/>
      <c r="D15" s="55"/>
      <c r="E15" s="61"/>
      <c r="F15" s="55"/>
      <c r="G15" s="55"/>
      <c r="H15" s="55"/>
      <c r="I15" s="55"/>
      <c r="J15" s="55" t="str">
        <f t="shared" si="0"/>
        <v/>
      </c>
      <c r="K15" s="55">
        <f t="shared" si="1"/>
        <v>0</v>
      </c>
      <c r="L15" s="64"/>
      <c r="M15" s="64"/>
    </row>
    <row r="16" spans="3:20" ht="15.75" thickBot="1" x14ac:dyDescent="0.3">
      <c r="C16" s="55"/>
      <c r="D16" s="55"/>
      <c r="E16" s="61"/>
      <c r="F16" s="55"/>
      <c r="G16" s="56"/>
      <c r="H16" s="55"/>
      <c r="I16" s="55"/>
      <c r="J16" s="55" t="str">
        <f t="shared" si="0"/>
        <v/>
      </c>
      <c r="K16" s="55">
        <f t="shared" si="1"/>
        <v>0</v>
      </c>
      <c r="L16" s="64"/>
      <c r="M16" s="64"/>
    </row>
    <row r="17" spans="3:20" ht="15.75" thickBot="1" x14ac:dyDescent="0.3">
      <c r="C17" s="55"/>
      <c r="D17" s="55"/>
      <c r="E17" s="61"/>
      <c r="F17" s="55"/>
      <c r="G17" s="55"/>
      <c r="H17" s="55"/>
      <c r="I17" s="55"/>
      <c r="J17" s="55" t="str">
        <f t="shared" si="0"/>
        <v/>
      </c>
      <c r="K17" s="55">
        <f t="shared" si="1"/>
        <v>0</v>
      </c>
      <c r="L17" s="64"/>
      <c r="M17" s="64"/>
      <c r="R17" s="63"/>
    </row>
    <row r="18" spans="3:20" ht="15.75" thickBot="1" x14ac:dyDescent="0.3">
      <c r="C18" s="55"/>
      <c r="D18" s="55"/>
      <c r="E18" s="61"/>
      <c r="F18" s="55"/>
      <c r="G18" s="55"/>
      <c r="H18" s="55"/>
      <c r="I18" s="55"/>
      <c r="J18" s="55" t="str">
        <f t="shared" si="0"/>
        <v/>
      </c>
      <c r="K18" s="55">
        <f t="shared" si="1"/>
        <v>0</v>
      </c>
      <c r="L18" s="64"/>
      <c r="M18" s="64"/>
    </row>
    <row r="19" spans="3:20" ht="15.75" thickBot="1" x14ac:dyDescent="0.3">
      <c r="C19" s="55"/>
      <c r="D19" s="55"/>
      <c r="E19" s="61"/>
      <c r="F19" s="55"/>
      <c r="G19" s="55"/>
      <c r="H19" s="55"/>
      <c r="I19" s="55"/>
      <c r="J19" s="55" t="str">
        <f t="shared" si="0"/>
        <v/>
      </c>
      <c r="K19" s="55">
        <f t="shared" si="1"/>
        <v>0</v>
      </c>
      <c r="L19" s="64"/>
      <c r="M19" s="64"/>
    </row>
    <row r="20" spans="3:20" ht="15.75" thickBot="1" x14ac:dyDescent="0.3">
      <c r="C20" s="55"/>
      <c r="D20" s="55"/>
      <c r="E20" s="61"/>
      <c r="F20" s="55"/>
      <c r="G20" s="55"/>
      <c r="H20" s="55"/>
      <c r="I20" s="55"/>
      <c r="J20" s="55" t="str">
        <f t="shared" si="0"/>
        <v/>
      </c>
      <c r="K20" s="55">
        <f t="shared" si="1"/>
        <v>0</v>
      </c>
      <c r="L20" s="64"/>
      <c r="M20" s="64"/>
      <c r="T20" s="143"/>
    </row>
    <row r="21" spans="3:20" ht="15.75" thickBot="1" x14ac:dyDescent="0.3">
      <c r="C21" s="55"/>
      <c r="D21" s="55"/>
      <c r="E21" s="61"/>
      <c r="F21" s="55"/>
      <c r="G21" s="55"/>
      <c r="H21" s="55"/>
      <c r="I21" s="55"/>
      <c r="J21" s="55" t="str">
        <f t="shared" si="0"/>
        <v/>
      </c>
      <c r="K21" s="55">
        <f t="shared" si="1"/>
        <v>0</v>
      </c>
      <c r="L21" s="64"/>
      <c r="M21" s="64"/>
    </row>
    <row r="22" spans="3:20" ht="15.75" thickBot="1" x14ac:dyDescent="0.3">
      <c r="C22" s="55"/>
      <c r="D22" s="55"/>
      <c r="E22" s="61"/>
      <c r="F22" s="55"/>
      <c r="G22" s="55"/>
      <c r="H22" s="55"/>
      <c r="I22" s="55"/>
      <c r="J22" s="55" t="str">
        <f t="shared" si="0"/>
        <v/>
      </c>
      <c r="K22" s="55">
        <f t="shared" si="1"/>
        <v>0</v>
      </c>
      <c r="L22" s="64"/>
      <c r="M22" s="64"/>
    </row>
    <row r="23" spans="3:20" ht="15.75" thickBot="1" x14ac:dyDescent="0.3">
      <c r="C23" s="55"/>
      <c r="D23" s="55"/>
      <c r="E23" s="61"/>
      <c r="F23" s="55"/>
      <c r="G23" s="55"/>
      <c r="H23" s="55"/>
      <c r="I23" s="55"/>
      <c r="J23" s="55" t="str">
        <f t="shared" si="0"/>
        <v/>
      </c>
      <c r="K23" s="55">
        <f t="shared" si="1"/>
        <v>0</v>
      </c>
      <c r="L23" s="64"/>
      <c r="M23" s="64"/>
    </row>
    <row r="24" spans="3:20" ht="15.75" thickBot="1" x14ac:dyDescent="0.3">
      <c r="C24" s="55"/>
      <c r="D24" s="55"/>
      <c r="E24" s="61"/>
      <c r="F24" s="55"/>
      <c r="G24" s="55"/>
      <c r="H24" s="55"/>
      <c r="I24" s="55"/>
      <c r="J24" s="55" t="str">
        <f t="shared" si="0"/>
        <v/>
      </c>
      <c r="K24" s="55">
        <f t="shared" si="1"/>
        <v>0</v>
      </c>
      <c r="L24" s="64"/>
      <c r="M24" s="64"/>
    </row>
    <row r="25" spans="3:20" ht="15.75" thickBot="1" x14ac:dyDescent="0.3">
      <c r="C25" s="55"/>
      <c r="D25" s="55"/>
      <c r="E25" s="61"/>
      <c r="F25" s="55"/>
      <c r="G25" s="55"/>
      <c r="H25" s="55"/>
      <c r="I25" s="55"/>
      <c r="J25" s="55" t="str">
        <f t="shared" si="0"/>
        <v/>
      </c>
      <c r="K25" s="55">
        <f t="shared" si="1"/>
        <v>0</v>
      </c>
      <c r="L25" s="64"/>
      <c r="M25" s="64"/>
    </row>
    <row r="26" spans="3:20" ht="15.75" thickBot="1" x14ac:dyDescent="0.3">
      <c r="C26" s="55"/>
      <c r="D26" s="55"/>
      <c r="E26" s="61"/>
      <c r="F26" s="55"/>
      <c r="G26" s="55"/>
      <c r="H26" s="55"/>
      <c r="I26" s="55"/>
      <c r="J26" s="55" t="str">
        <f t="shared" si="0"/>
        <v/>
      </c>
      <c r="K26" s="55">
        <f t="shared" si="1"/>
        <v>0</v>
      </c>
      <c r="L26" s="64"/>
      <c r="M26" s="64"/>
    </row>
    <row r="27" spans="3:20" ht="15.75" thickBot="1" x14ac:dyDescent="0.3">
      <c r="C27" s="55"/>
      <c r="D27" s="55"/>
      <c r="E27" s="61"/>
      <c r="F27" s="55"/>
      <c r="G27" s="55"/>
      <c r="H27" s="55"/>
      <c r="I27" s="55"/>
      <c r="J27" s="55" t="str">
        <f t="shared" si="0"/>
        <v/>
      </c>
      <c r="K27" s="55">
        <f t="shared" si="1"/>
        <v>0</v>
      </c>
      <c r="L27" s="64"/>
      <c r="M27" s="64"/>
    </row>
    <row r="28" spans="3:20" ht="15.75" thickBot="1" x14ac:dyDescent="0.3">
      <c r="C28" s="55"/>
      <c r="D28" s="55"/>
      <c r="E28" s="61"/>
      <c r="F28" s="55"/>
      <c r="G28" s="55"/>
      <c r="H28" s="55"/>
      <c r="I28" s="55"/>
      <c r="J28" s="55" t="str">
        <f t="shared" si="0"/>
        <v/>
      </c>
      <c r="K28" s="55">
        <f t="shared" si="1"/>
        <v>0</v>
      </c>
      <c r="L28" s="64"/>
      <c r="M28" s="64"/>
    </row>
    <row r="29" spans="3:20" ht="15.75" thickBot="1" x14ac:dyDescent="0.3">
      <c r="C29" s="55"/>
      <c r="D29" s="55"/>
      <c r="E29" s="61"/>
      <c r="F29" s="55"/>
      <c r="G29" s="55"/>
      <c r="H29" s="55"/>
      <c r="I29" s="55"/>
      <c r="J29" s="55" t="str">
        <f t="shared" si="0"/>
        <v/>
      </c>
      <c r="K29" s="55">
        <f t="shared" si="1"/>
        <v>0</v>
      </c>
      <c r="L29" s="64"/>
      <c r="M29" s="64"/>
    </row>
    <row r="30" spans="3:20" ht="15.75" thickBot="1" x14ac:dyDescent="0.3">
      <c r="C30" s="55"/>
      <c r="D30" s="55"/>
      <c r="E30" s="61"/>
      <c r="F30" s="55"/>
      <c r="G30" s="55"/>
      <c r="H30" s="55"/>
      <c r="I30" s="55"/>
      <c r="J30" s="55" t="str">
        <f t="shared" si="0"/>
        <v/>
      </c>
      <c r="K30" s="55">
        <f t="shared" si="1"/>
        <v>0</v>
      </c>
      <c r="L30" s="64"/>
      <c r="M30" s="64"/>
    </row>
    <row r="31" spans="3:20" ht="15.75" thickBot="1" x14ac:dyDescent="0.3">
      <c r="C31" s="55"/>
      <c r="D31" s="55"/>
      <c r="E31" s="61"/>
      <c r="F31" s="55"/>
      <c r="G31" s="55"/>
      <c r="H31" s="55"/>
      <c r="I31" s="55"/>
      <c r="J31" s="55" t="str">
        <f t="shared" si="0"/>
        <v/>
      </c>
      <c r="K31" s="55">
        <f t="shared" si="1"/>
        <v>0</v>
      </c>
      <c r="L31" s="64"/>
      <c r="M31" s="64"/>
    </row>
    <row r="32" spans="3:20" ht="15.75" thickBot="1" x14ac:dyDescent="0.3">
      <c r="C32" s="55"/>
      <c r="D32" s="55"/>
      <c r="E32" s="61"/>
      <c r="F32" s="55"/>
      <c r="G32" s="55"/>
      <c r="H32" s="55"/>
      <c r="I32" s="55"/>
      <c r="J32" s="55" t="str">
        <f t="shared" si="0"/>
        <v/>
      </c>
      <c r="K32" s="55">
        <f t="shared" si="1"/>
        <v>0</v>
      </c>
      <c r="L32" s="64"/>
      <c r="M32" s="64"/>
    </row>
    <row r="33" spans="3:13" ht="15.75" thickBot="1" x14ac:dyDescent="0.3">
      <c r="C33" s="55"/>
      <c r="D33" s="55"/>
      <c r="E33" s="61"/>
      <c r="F33" s="55"/>
      <c r="G33" s="55"/>
      <c r="H33" s="55"/>
      <c r="I33" s="55"/>
      <c r="J33" s="55" t="str">
        <f t="shared" si="0"/>
        <v/>
      </c>
      <c r="K33" s="55">
        <f t="shared" si="1"/>
        <v>0</v>
      </c>
      <c r="L33" s="64"/>
      <c r="M33" s="64"/>
    </row>
    <row r="34" spans="3:13" ht="15.75" thickBot="1" x14ac:dyDescent="0.3">
      <c r="C34" s="55"/>
      <c r="D34" s="55"/>
      <c r="E34" s="61"/>
      <c r="F34" s="55"/>
      <c r="G34" s="55"/>
      <c r="H34" s="55"/>
      <c r="I34" s="55"/>
      <c r="J34" s="55" t="str">
        <f t="shared" si="0"/>
        <v/>
      </c>
      <c r="K34" s="55">
        <f t="shared" si="1"/>
        <v>0</v>
      </c>
      <c r="L34" s="64"/>
      <c r="M34" s="64"/>
    </row>
    <row r="35" spans="3:13" ht="15.75" thickBot="1" x14ac:dyDescent="0.3">
      <c r="C35" s="55"/>
      <c r="D35" s="55"/>
      <c r="E35" s="61"/>
      <c r="F35" s="55"/>
      <c r="G35" s="55"/>
      <c r="H35" s="55"/>
      <c r="I35" s="55"/>
      <c r="J35" s="55" t="str">
        <f t="shared" si="0"/>
        <v/>
      </c>
      <c r="K35" s="55">
        <f t="shared" si="1"/>
        <v>0</v>
      </c>
      <c r="L35" s="64"/>
      <c r="M35" s="64"/>
    </row>
    <row r="36" spans="3:13" ht="15.75" thickBot="1" x14ac:dyDescent="0.3">
      <c r="C36" s="55"/>
      <c r="D36" s="55"/>
      <c r="E36" s="61"/>
      <c r="F36" s="55"/>
      <c r="G36" s="55"/>
      <c r="H36" s="55"/>
      <c r="I36" s="55"/>
      <c r="J36" s="55" t="str">
        <f t="shared" si="0"/>
        <v/>
      </c>
      <c r="K36" s="55">
        <f t="shared" si="1"/>
        <v>0</v>
      </c>
      <c r="L36" s="64"/>
      <c r="M36" s="64"/>
    </row>
    <row r="37" spans="3:13" ht="15.75" thickBot="1" x14ac:dyDescent="0.3">
      <c r="C37" s="55"/>
      <c r="D37" s="55"/>
      <c r="E37" s="61"/>
      <c r="F37" s="55"/>
      <c r="G37" s="55"/>
      <c r="H37" s="55"/>
      <c r="I37" s="55"/>
      <c r="J37" s="55" t="str">
        <f t="shared" si="0"/>
        <v/>
      </c>
      <c r="K37" s="55">
        <f t="shared" si="1"/>
        <v>0</v>
      </c>
      <c r="L37" s="64"/>
      <c r="M37" s="64"/>
    </row>
    <row r="38" spans="3:13" ht="15.75" thickBot="1" x14ac:dyDescent="0.3">
      <c r="C38" s="55"/>
      <c r="D38" s="55"/>
      <c r="E38" s="61"/>
      <c r="F38" s="55"/>
      <c r="G38" s="55"/>
      <c r="H38" s="55"/>
      <c r="I38" s="55"/>
      <c r="J38" s="55" t="str">
        <f t="shared" si="0"/>
        <v/>
      </c>
      <c r="K38" s="55">
        <f t="shared" si="1"/>
        <v>0</v>
      </c>
      <c r="L38" s="64"/>
      <c r="M38" s="64"/>
    </row>
    <row r="39" spans="3:13" ht="15.75" thickBot="1" x14ac:dyDescent="0.3">
      <c r="C39" s="55"/>
      <c r="D39" s="55"/>
      <c r="E39" s="61"/>
      <c r="F39" s="55"/>
      <c r="G39" s="55"/>
      <c r="H39" s="55"/>
      <c r="I39" s="55"/>
      <c r="J39" s="55" t="str">
        <f t="shared" si="0"/>
        <v/>
      </c>
      <c r="K39" s="55">
        <f t="shared" si="1"/>
        <v>0</v>
      </c>
      <c r="L39" s="64"/>
      <c r="M39" s="64"/>
    </row>
    <row r="40" spans="3:13" ht="15.75" thickBot="1" x14ac:dyDescent="0.3">
      <c r="C40" s="55"/>
      <c r="D40" s="55"/>
      <c r="E40" s="61"/>
      <c r="F40" s="55"/>
      <c r="G40" s="55"/>
      <c r="H40" s="55"/>
      <c r="I40" s="55"/>
      <c r="J40" s="55" t="str">
        <f t="shared" si="0"/>
        <v/>
      </c>
      <c r="K40" s="55">
        <f t="shared" si="1"/>
        <v>0</v>
      </c>
      <c r="L40" s="64"/>
      <c r="M40" s="64"/>
    </row>
    <row r="41" spans="3:13" ht="15.75" thickBot="1" x14ac:dyDescent="0.3">
      <c r="C41" s="55"/>
      <c r="D41" s="55"/>
      <c r="E41" s="61"/>
      <c r="F41" s="55"/>
      <c r="G41" s="55"/>
      <c r="H41" s="55"/>
      <c r="I41" s="55"/>
      <c r="J41" s="55" t="str">
        <f t="shared" si="0"/>
        <v/>
      </c>
      <c r="K41" s="55">
        <f t="shared" si="1"/>
        <v>0</v>
      </c>
      <c r="L41" s="64"/>
      <c r="M41" s="64"/>
    </row>
    <row r="42" spans="3:13" ht="15.75" thickBot="1" x14ac:dyDescent="0.3">
      <c r="C42" s="55"/>
      <c r="D42" s="55"/>
      <c r="E42" s="61"/>
      <c r="F42" s="55"/>
      <c r="G42" s="55"/>
      <c r="H42" s="55"/>
      <c r="I42" s="55"/>
      <c r="J42" s="55" t="str">
        <f t="shared" si="0"/>
        <v/>
      </c>
      <c r="K42" s="55">
        <f t="shared" si="1"/>
        <v>0</v>
      </c>
      <c r="L42" s="64"/>
      <c r="M42" s="64"/>
    </row>
    <row r="43" spans="3:13" ht="15.75" thickBot="1" x14ac:dyDescent="0.3">
      <c r="C43" s="55"/>
      <c r="D43" s="55"/>
      <c r="E43" s="61"/>
      <c r="F43" s="55"/>
      <c r="G43" s="55"/>
      <c r="H43" s="55"/>
      <c r="I43" s="55"/>
      <c r="J43" s="55" t="str">
        <f t="shared" si="0"/>
        <v/>
      </c>
      <c r="K43" s="55">
        <f t="shared" si="1"/>
        <v>0</v>
      </c>
      <c r="L43" s="64"/>
      <c r="M43" s="64"/>
    </row>
    <row r="44" spans="3:13" ht="15.75" thickBot="1" x14ac:dyDescent="0.3">
      <c r="C44" s="55"/>
      <c r="D44" s="55"/>
      <c r="E44" s="61"/>
      <c r="F44" s="55"/>
      <c r="G44" s="55"/>
      <c r="H44" s="55"/>
      <c r="I44" s="55"/>
      <c r="J44" s="55" t="str">
        <f t="shared" si="0"/>
        <v/>
      </c>
      <c r="K44" s="55">
        <f t="shared" si="1"/>
        <v>0</v>
      </c>
      <c r="L44" s="64"/>
      <c r="M44" s="64"/>
    </row>
    <row r="45" spans="3:13" ht="15.75" thickBot="1" x14ac:dyDescent="0.3">
      <c r="C45" s="55"/>
      <c r="D45" s="55"/>
      <c r="E45" s="61"/>
      <c r="F45" s="55"/>
      <c r="G45" s="55"/>
      <c r="H45" s="55"/>
      <c r="I45" s="55"/>
      <c r="J45" s="55" t="str">
        <f t="shared" si="0"/>
        <v/>
      </c>
      <c r="K45" s="55">
        <f t="shared" si="1"/>
        <v>0</v>
      </c>
      <c r="L45" s="64"/>
      <c r="M45" s="64"/>
    </row>
    <row r="46" spans="3:13" ht="15.75" thickBot="1" x14ac:dyDescent="0.3">
      <c r="C46" s="55"/>
      <c r="D46" s="55"/>
      <c r="E46" s="61"/>
      <c r="F46" s="55"/>
      <c r="G46" s="55"/>
      <c r="H46" s="55"/>
      <c r="I46" s="55"/>
      <c r="J46" s="55" t="str">
        <f t="shared" si="0"/>
        <v/>
      </c>
      <c r="K46" s="55">
        <f t="shared" si="1"/>
        <v>0</v>
      </c>
      <c r="L46" s="64"/>
      <c r="M46" s="64"/>
    </row>
    <row r="47" spans="3:13" ht="15.75" thickBot="1" x14ac:dyDescent="0.3">
      <c r="C47" s="55"/>
      <c r="D47" s="55"/>
      <c r="E47" s="61"/>
      <c r="F47" s="55"/>
      <c r="G47" s="55"/>
      <c r="H47" s="55"/>
      <c r="I47" s="55"/>
      <c r="J47" s="55" t="str">
        <f t="shared" si="0"/>
        <v/>
      </c>
      <c r="K47" s="55">
        <f t="shared" si="1"/>
        <v>0</v>
      </c>
      <c r="L47" s="64"/>
      <c r="M47" s="64"/>
    </row>
    <row r="48" spans="3:13" ht="15.75" thickBot="1" x14ac:dyDescent="0.3">
      <c r="C48" s="55"/>
      <c r="D48" s="55"/>
      <c r="E48" s="61"/>
      <c r="F48" s="55"/>
      <c r="G48" s="55"/>
      <c r="H48" s="55"/>
      <c r="I48" s="55"/>
      <c r="J48" s="55" t="str">
        <f t="shared" si="0"/>
        <v/>
      </c>
      <c r="K48" s="55">
        <f t="shared" si="1"/>
        <v>0</v>
      </c>
      <c r="L48" s="64"/>
      <c r="M48" s="64"/>
    </row>
    <row r="49" spans="3:13" ht="15.75" thickBot="1" x14ac:dyDescent="0.3">
      <c r="C49" s="55"/>
      <c r="D49" s="55"/>
      <c r="E49" s="61"/>
      <c r="F49" s="55"/>
      <c r="G49" s="55"/>
      <c r="H49" s="55"/>
      <c r="I49" s="55"/>
      <c r="J49" s="55" t="str">
        <f t="shared" si="0"/>
        <v/>
      </c>
      <c r="K49" s="55">
        <f t="shared" si="1"/>
        <v>0</v>
      </c>
      <c r="L49" s="64"/>
      <c r="M49" s="64"/>
    </row>
    <row r="50" spans="3:13" ht="15.75" thickBot="1" x14ac:dyDescent="0.3">
      <c r="C50" s="55"/>
      <c r="D50" s="55"/>
      <c r="E50" s="61"/>
      <c r="F50" s="55"/>
      <c r="G50" s="55"/>
      <c r="H50" s="55"/>
      <c r="I50" s="55"/>
      <c r="J50" s="55" t="str">
        <f t="shared" si="0"/>
        <v/>
      </c>
      <c r="K50" s="55">
        <f t="shared" si="1"/>
        <v>0</v>
      </c>
      <c r="L50" s="64"/>
      <c r="M50" s="64"/>
    </row>
    <row r="51" spans="3:13" ht="15.75" thickBot="1" x14ac:dyDescent="0.3">
      <c r="C51" s="55"/>
      <c r="D51" s="55"/>
      <c r="E51" s="61"/>
      <c r="F51" s="55"/>
      <c r="G51" s="55"/>
      <c r="H51" s="55"/>
      <c r="I51" s="55"/>
      <c r="J51" s="55" t="str">
        <f t="shared" si="0"/>
        <v/>
      </c>
      <c r="K51" s="55">
        <f t="shared" si="1"/>
        <v>0</v>
      </c>
      <c r="L51" s="64"/>
      <c r="M51" s="64"/>
    </row>
    <row r="52" spans="3:13" ht="15.75" thickBot="1" x14ac:dyDescent="0.3">
      <c r="C52" s="55"/>
      <c r="D52" s="55"/>
      <c r="E52" s="61"/>
      <c r="F52" s="55"/>
      <c r="G52" s="55"/>
      <c r="H52" s="55"/>
      <c r="I52" s="55"/>
      <c r="J52" s="55" t="str">
        <f t="shared" si="0"/>
        <v/>
      </c>
      <c r="K52" s="55">
        <f t="shared" si="1"/>
        <v>0</v>
      </c>
      <c r="L52" s="64"/>
      <c r="M52" s="64"/>
    </row>
  </sheetData>
  <protectedRanges>
    <protectedRange sqref="C1:I1048576 L1:U1048576" name="Rango1"/>
  </protectedRanges>
  <mergeCells count="5">
    <mergeCell ref="P9:P10"/>
    <mergeCell ref="Q9:Q10"/>
    <mergeCell ref="T5:T6"/>
    <mergeCell ref="N7:O7"/>
    <mergeCell ref="N8:O8"/>
  </mergeCells>
  <conditionalFormatting sqref="P9:P10">
    <cfRule type="expression" dxfId="1" priority="2">
      <formula>$P$10&gt;=4.5</formula>
    </cfRule>
  </conditionalFormatting>
  <conditionalFormatting sqref="Q9:Q10">
    <cfRule type="expression" dxfId="0" priority="1">
      <formula>$Q$10&gt;=4.5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6A512E-F566-45B2-8DDA-3DFF568AE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INVENTARIO(MB52)</vt:lpstr>
      <vt:lpstr>MIGO</vt:lpstr>
      <vt:lpstr>INFORME DEL DIA</vt:lpstr>
      <vt:lpstr>INV.FISICO</vt:lpstr>
      <vt:lpstr>CIERRE TECNICO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Andres Arrieta Rodriguez</dc:creator>
  <cp:lastModifiedBy>Michael Andres Arrieta Rodriguez</cp:lastModifiedBy>
  <dcterms:created xsi:type="dcterms:W3CDTF">2022-05-26T08:21:13Z</dcterms:created>
  <dcterms:modified xsi:type="dcterms:W3CDTF">2022-07-08T10:40:06Z</dcterms:modified>
</cp:coreProperties>
</file>